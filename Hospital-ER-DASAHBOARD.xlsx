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cer\OneDrive\Desktop\"/>
    </mc:Choice>
  </mc:AlternateContent>
  <xr:revisionPtr revIDLastSave="0" documentId="13_ncr:1_{A4363E7F-D010-47D2-9041-87C97F1EE737}" xr6:coauthVersionLast="47" xr6:coauthVersionMax="47" xr10:uidLastSave="{00000000-0000-0000-0000-000000000000}"/>
  <bookViews>
    <workbookView xWindow="-108" yWindow="-108" windowWidth="23256" windowHeight="12456" activeTab="1" xr2:uid="{8A9CD059-5471-4ED1-8E9C-FC8A7E501880}"/>
  </bookViews>
  <sheets>
    <sheet name="Pivot" sheetId="1" r:id="rId1"/>
    <sheet name="Dashboard" sheetId="2" r:id="rId2"/>
    <sheet name="ER Daily No. of patient visit" sheetId="3" r:id="rId3"/>
    <sheet name="ER Daily Avg. Waittime" sheetId="5" r:id="rId4"/>
    <sheet name="Daily Satisfaction Rate" sheetId="6" r:id="rId5"/>
  </sheets>
  <definedNames>
    <definedName name="Slicer_Date__Month">#N/A</definedName>
    <definedName name="Slicer_Date__Year">#N/A</definedName>
  </definedNames>
  <calcPr calcId="191029"/>
  <pivotCaches>
    <pivotCache cacheId="2198" r:id="rId6"/>
    <pivotCache cacheId="2201" r:id="rId7"/>
    <pivotCache cacheId="2204" r:id="rId8"/>
    <pivotCache cacheId="2207" r:id="rId9"/>
    <pivotCache cacheId="2210" r:id="rId10"/>
    <pivotCache cacheId="2213" r:id="rId11"/>
    <pivotCache cacheId="2216" r:id="rId12"/>
    <pivotCache cacheId="2219" r:id="rId13"/>
    <pivotCache cacheId="2222" r:id="rId14"/>
    <pivotCache cacheId="2225" r:id="rId15"/>
    <pivotCache cacheId="2228" r:id="rId16"/>
    <pivotCache cacheId="2231" r:id="rId17"/>
  </pivotCaches>
  <extLst>
    <ext xmlns:x14="http://schemas.microsoft.com/office/spreadsheetml/2009/9/main" uri="{876F7934-8845-4945-9796-88D515C7AA90}">
      <x14:pivotCaches>
        <pivotCache cacheId="94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7e1e178-6218-44ca-b36f-eec7d4c9aa5c" name="Hospital Emergency Room Data" connection="Query - Hospital Emergency Room Data"/>
          <x15:modelTable id="Calendar_Table_6b7505fd-7c74-4cfa-8d93-e0e10301f5a0"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9" i="1" l="1"/>
  <c r="C49" i="1"/>
  <c r="B48" i="1"/>
  <c r="C48" i="1"/>
  <c r="A49"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ED5299-25A1-47E7-B5E0-0122B4B44101}" name="Query - Calendar_Table" description="Connection to the 'Calendar_Table' query in the workbook." type="100" refreshedVersion="7" minRefreshableVersion="5">
    <extLst>
      <ext xmlns:x15="http://schemas.microsoft.com/office/spreadsheetml/2010/11/main" uri="{DE250136-89BD-433C-8126-D09CA5730AF9}">
        <x15:connection id="f81189be-5b11-4a62-922a-0afe1774d04d"/>
      </ext>
    </extLst>
  </connection>
  <connection id="2" xr16:uid="{F719CF23-E117-48E3-9675-C3A02E609DF7}"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38880221-493d-4699-82fb-15f66e83410b"/>
      </ext>
    </extLst>
  </connection>
  <connection id="3" xr16:uid="{397ECD0A-6D9E-48EE-971C-822EE9CA328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<sst xmlns="http://schemas.openxmlformats.org/spreadsheetml/2006/main" count="156" uniqueCount="73">
  <si>
    <t>Distinct Count of Patient Id</t>
  </si>
  <si>
    <t>Number of patient</t>
  </si>
  <si>
    <t>Average of Patient Waittime</t>
  </si>
  <si>
    <t>Average of Patient Satisfaction Score</t>
  </si>
  <si>
    <t>Row Labels</t>
  </si>
  <si>
    <t>Grand Total</t>
  </si>
  <si>
    <t>Admitted</t>
  </si>
  <si>
    <t>Not-Admitted</t>
  </si>
  <si>
    <t>Daily number of patient</t>
  </si>
  <si>
    <t>Average waiting time</t>
  </si>
  <si>
    <t>Satisfacting rate</t>
  </si>
  <si>
    <t>Admission Status</t>
  </si>
  <si>
    <t>No. of Patient</t>
  </si>
  <si>
    <t>Count of Patient Admission Flag</t>
  </si>
  <si>
    <t>Count of Patient Admission Flag2</t>
  </si>
  <si>
    <t>0-09</t>
  </si>
  <si>
    <t>10-19</t>
  </si>
  <si>
    <t>20-29</t>
  </si>
  <si>
    <t>30-39</t>
  </si>
  <si>
    <t>40-49</t>
  </si>
  <si>
    <t>50-59</t>
  </si>
  <si>
    <t>60-69</t>
  </si>
  <si>
    <t>70-79</t>
  </si>
  <si>
    <t>Count of Age Group</t>
  </si>
  <si>
    <t>Jun</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</si>
  <si>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</si>
  <si>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</si>
  <si>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</si>
  <si>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</si>
  <si>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</si>
  <si>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</si>
  <si>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</si>
  <si>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</si>
  <si>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</si>
  <si>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</si>
  <si>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</si>
  <si>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</si>
  <si>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</si>
  <si>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</si>
  <si>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</si>
  <si>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</si>
  <si>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</si>
  <si>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</si>
  <si>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</si>
  <si>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</si>
  <si>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</si>
  <si>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</si>
  <si>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</si>
  <si>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</si>
  <si>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</si>
  <si>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</si>
  <si>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</si>
  <si>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</si>
  <si>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</si>
  <si>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</si>
  <si>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Status</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</si>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</sst>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1"/>
      <name val="Calibri Light"/>
      <family val="2"/>
      <scheme val="major"/>
    </font>
  </fonts>
  <fills count="6">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8"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10" fontId="0" fillId="0" borderId="0" xfId="0" applyNumberFormat="1"/>
    <xf numFmtId="1" fontId="0" fillId="0" borderId="0" xfId="0" applyNumberFormat="1"/>
    <xf numFmtId="0" fontId="0" fillId="4" borderId="0" xfId="0" applyFill="1"/>
    <xf numFmtId="0" fontId="3" fillId="0" borderId="0" xfId="0" pivotButton="1" applyFont="1"/>
    <xf numFmtId="0" fontId="3" fillId="0" borderId="0" xfId="0" applyFont="1"/>
    <xf numFmtId="0" fontId="3" fillId="0" borderId="0" xfId="0" applyFont="1" applyAlignment="1">
      <alignment horizontal="left"/>
    </xf>
    <xf numFmtId="1" fontId="3" fillId="0" borderId="0" xfId="0" applyNumberFormat="1" applyFont="1"/>
    <xf numFmtId="0" fontId="4" fillId="0" borderId="0" xfId="0" applyFont="1" applyFill="1" applyAlignment="1">
      <alignment horizontal="center" vertical="center"/>
    </xf>
    <xf numFmtId="0" fontId="0" fillId="0" borderId="0" xfId="0" applyFont="1" applyFill="1"/>
    <xf numFmtId="1" fontId="4" fillId="0" borderId="0" xfId="0" applyNumberFormat="1" applyFont="1" applyFill="1" applyAlignment="1">
      <alignment horizontal="center" vertical="center"/>
    </xf>
    <xf numFmtId="10" fontId="4" fillId="0" borderId="0" xfId="0" applyNumberFormat="1" applyFont="1" applyFill="1" applyAlignment="1">
      <alignment horizontal="center" vertical="center"/>
    </xf>
    <xf numFmtId="0" fontId="3" fillId="4" borderId="0" xfId="0" applyFont="1" applyFill="1"/>
    <xf numFmtId="9" fontId="3" fillId="4" borderId="0" xfId="1" applyFont="1" applyFill="1"/>
    <xf numFmtId="0" fontId="2" fillId="5" borderId="0" xfId="0" applyFont="1" applyFill="1" applyAlignment="1">
      <alignment horizontal="left"/>
    </xf>
    <xf numFmtId="0" fontId="2" fillId="5" borderId="0" xfId="0" applyFont="1" applyFill="1"/>
    <xf numFmtId="0" fontId="0" fillId="5" borderId="0" xfId="0" applyFill="1"/>
  </cellXfs>
  <cellStyles count="2">
    <cellStyle name="Normal" xfId="0" builtinId="0"/>
    <cellStyle name="Percent" xfId="1" builtinId="5"/>
  </cellStyles>
  <dxfs count="625">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numFmt numFmtId="1" formatCode="0"/>
    </dxf>
    <dxf>
      <font>
        <b/>
      </font>
    </dxf>
    <dxf>
      <font>
        <b/>
      </font>
    </dxf>
    <dxf>
      <font>
        <b/>
      </font>
    </dxf>
    <dxf>
      <font>
        <b/>
      </font>
    </dxf>
    <dxf>
      <font>
        <b/>
      </font>
    </dxf>
    <dxf>
      <font>
        <b/>
      </font>
    </dxf>
    <dxf>
      <numFmt numFmtId="1" formatCode="0"/>
    </dxf>
    <dxf>
      <numFmt numFmtId="14" formatCode="0.00%"/>
    </dxf>
    <dxf>
      <numFmt numFmtId="2" formatCode="0.00"/>
    </dxf>
    <dxf>
      <numFmt numFmtId="2" formatCode="0.00"/>
    </dxf>
    <dxf>
      <font>
        <b/>
        <i val="0"/>
      </font>
      <fill>
        <patternFill>
          <bgColor theme="0" tint="-0.24994659260841701"/>
        </patternFill>
      </fill>
      <border>
        <left style="thin">
          <color auto="1"/>
        </left>
        <right style="thin">
          <color auto="1"/>
        </right>
        <top style="thin">
          <color auto="1"/>
        </top>
        <bottom style="thin">
          <color auto="1"/>
        </bottom>
      </border>
    </dxf>
    <dxf>
      <font>
        <b/>
        <i val="0"/>
        <sz val="18"/>
      </font>
      <fill>
        <patternFill>
          <bgColor rgb="FFC8D6EE"/>
        </patternFill>
      </fill>
      <border diagonalUp="0" diagonalDown="0">
        <left/>
        <right/>
        <top/>
        <bottom/>
        <vertical/>
        <horizontal/>
      </border>
    </dxf>
    <dxf>
      <fill>
        <patternFill patternType="solid">
          <fgColor theme="0"/>
          <bgColor theme="8" tint="0.39994506668294322"/>
        </patternFill>
      </fill>
    </dxf>
    <dxf>
      <font>
        <color theme="0"/>
      </font>
      <fill>
        <patternFill>
          <bgColor theme="4" tint="-0.24994659260841701"/>
        </patternFill>
      </fill>
    </dxf>
    <dxf>
      <fill>
        <patternFill>
          <bgColor theme="8" tint="0.39994506668294322"/>
        </patternFill>
      </fill>
    </dxf>
  </dxfs>
  <tableStyles count="3" defaultTableStyle="TableStyleMedium2" defaultPivotStyle="PivotStyleLight16">
    <tableStyle name="Slicer Style 1" pivot="0" table="0" count="6" xr9:uid="{A572A6D8-0FFD-4D46-87AD-EC1563ADCF08}">
      <tableStyleElement type="wholeTable" dxfId="624"/>
      <tableStyleElement type="headerRow" dxfId="623"/>
    </tableStyle>
    <tableStyle name="Slicer Style 2" pivot="0" table="0" count="1" xr9:uid="{CA79CB3C-9DC8-4211-95C4-EBFFDD76EFAD}">
      <tableStyleElement type="wholeTable" dxfId="622"/>
    </tableStyle>
    <tableStyle name="Slicer Style 3" pivot="0" table="0" count="9" xr9:uid="{153F8DDD-7BB8-4BB8-9C1C-F2A141BBC5DF}">
      <tableStyleElement type="wholeTable" dxfId="621"/>
      <tableStyleElement type="headerRow" dxfId="620"/>
    </tableStyle>
  </tableStyles>
  <colors>
    <mruColors>
      <color rgb="FF91A1DB"/>
      <color rgb="FFC8D6EE"/>
    </mruColors>
  </colors>
  <extLst>
    <ext xmlns:x14="http://schemas.microsoft.com/office/spreadsheetml/2009/9/main" uri="{46F421CA-312F-682f-3DD2-61675219B42D}">
      <x14:dxfs count="11">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dxf>
          <font>
            <color theme="0"/>
          </font>
          <fill>
            <patternFill>
              <bgColor theme="8"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0"/>
            <x14:slicerStyleElement type="unselectedItemWithNoData" dxfId="9"/>
            <x14:slicerStyleElement type="selectedItemWithData" dxfId="8"/>
            <x14:slicerStyleElement type="selectedItemWithNoData" dxfId="7"/>
          </x14:slicerStyleElements>
        </x14:slicerStyle>
        <x14:slicerStyle name="Slicer Style 2"/>
        <x14:slicerStyle name="Slicer Style 3">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[hospital-workbook(AutoRecovered).xlsx]Pivot!PivotTable4</c:name>
    <c:fmtId val="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5541377315467843E-2"/>
          <c:w val="0.91107784221504651"/>
          <c:h val="0.90445862268453214"/>
        </c:manualLayout>
      </c:layout>
      <c:areaChart>
        <c:grouping val="standard"/>
        <c:varyColors val="0"/>
        <c:ser>
          <c:idx val="0"/>
          <c:order val="0"/>
          <c:tx>
            <c:strRef>
              <c:f>Pivot!$E$4</c:f>
              <c:strCache>
                <c:ptCount val="1"/>
                <c:pt idx="0">
                  <c:v>Total</c:v>
                </c:pt>
              </c:strCache>
            </c:strRef>
          </c:tx>
          <c:spPr>
            <a:solidFill>
              <a:schemeClr val="accent1"/>
            </a:solidFill>
            <a:ln w="25400">
              <a:noFill/>
            </a:ln>
            <a:effectLst/>
          </c:spPr>
          <c:cat>
            <c:multiLvlStrRef>
              <c:f>Pivot!$D$5:$D$36</c:f>
              <c:multiLvlStrCache>
                <c:ptCount val="30"/>
                <c:lvl>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lvl>
                <c:lvl>
                  <c:pt idx="0">
                    <c:v>Jun</c:v>
                  </c:pt>
                </c:lvl>
              </c:multiLvlStrCache>
            </c:multiLvlStrRef>
          </c:cat>
          <c:val>
            <c:numRef>
              <c:f>Pivot!$E$5:$E$36</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4-938E-471B-B940-09F06B312386}"/>
            </c:ext>
          </c:extLst>
        </c:ser>
        <c:dLbls>
          <c:showLegendKey val="0"/>
          <c:showVal val="0"/>
          <c:showCatName val="0"/>
          <c:showSerName val="0"/>
          <c:showPercent val="0"/>
          <c:showBubbleSize val="0"/>
        </c:dLbls>
        <c:axId val="1801574479"/>
        <c:axId val="1801575727"/>
      </c:areaChart>
      <c:catAx>
        <c:axId val="1801574479"/>
        <c:scaling>
          <c:orientation val="minMax"/>
        </c:scaling>
        <c:delete val="1"/>
        <c:axPos val="b"/>
        <c:numFmt formatCode="General" sourceLinked="1"/>
        <c:majorTickMark val="out"/>
        <c:minorTickMark val="none"/>
        <c:tickLblPos val="nextTo"/>
        <c:crossAx val="1801575727"/>
        <c:crosses val="autoZero"/>
        <c:auto val="1"/>
        <c:lblAlgn val="ctr"/>
        <c:lblOffset val="100"/>
        <c:noMultiLvlLbl val="0"/>
      </c:catAx>
      <c:valAx>
        <c:axId val="1801575727"/>
        <c:scaling>
          <c:orientation val="minMax"/>
        </c:scaling>
        <c:delete val="1"/>
        <c:axPos val="l"/>
        <c:numFmt formatCode="General" sourceLinked="1"/>
        <c:majorTickMark val="none"/>
        <c:minorTickMark val="none"/>
        <c:tickLblPos val="nextTo"/>
        <c:crossAx val="18015744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Pivot!$S$6</c:f>
              <c:strCache>
                <c:ptCount val="1"/>
                <c:pt idx="0">
                  <c:v>Total</c:v>
                </c:pt>
              </c:strCache>
            </c:strRef>
          </c:tx>
          <c:spPr>
            <a:solidFill>
              <a:schemeClr val="accent1"/>
            </a:solidFill>
            <a:ln w="25400">
              <a:noFill/>
            </a:ln>
            <a:effectLst/>
          </c:spPr>
          <c:cat>
            <c:strRef>
              <c:f>Pivot!$R$7:$R$37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Pivot!$S$7:$S$37</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3-4866-40FF-AAC2-7050731BE5CD}"/>
            </c:ext>
          </c:extLst>
        </c:ser>
        <c:dLbls>
          <c:showLegendKey val="0"/>
          <c:showVal val="0"/>
          <c:showCatName val="0"/>
          <c:showSerName val="0"/>
          <c:showPercent val="0"/>
          <c:showBubbleSize val="0"/>
        </c:dLbls>
        <c:axId val="1814060719"/>
        <c:axId val="1814061551"/>
      </c:areaChart>
      <c:catAx>
        <c:axId val="1814060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061551"/>
        <c:crosses val="autoZero"/>
        <c:auto val="1"/>
        <c:lblAlgn val="ctr"/>
        <c:lblOffset val="100"/>
        <c:noMultiLvlLbl val="0"/>
      </c:catAx>
      <c:valAx>
        <c:axId val="1814061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060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[hospital-workbook(AutoRecovered).xlsx]Pivot!PivotTable6</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Pivot!$AA$6</c:f>
              <c:strCache>
                <c:ptCount val="1"/>
                <c:pt idx="0">
                  <c:v>Total</c:v>
                </c:pt>
              </c:strCache>
            </c:strRef>
          </c:tx>
          <c:spPr>
            <a:solidFill>
              <a:schemeClr val="accent1"/>
            </a:solidFill>
            <a:ln w="25400">
              <a:noFill/>
            </a:ln>
            <a:effectLst/>
          </c:spPr>
          <c:cat>
            <c:strRef>
              <c:f>Pivot!$Z$7:$Z$37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Pivot!$AA$7:$AA$37</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3-9927-4B5D-9452-438A49C710DD}"/>
            </c:ext>
          </c:extLst>
        </c:ser>
        <c:dLbls>
          <c:showLegendKey val="0"/>
          <c:showVal val="0"/>
          <c:showCatName val="0"/>
          <c:showSerName val="0"/>
          <c:showPercent val="0"/>
          <c:showBubbleSize val="0"/>
        </c:dLbls>
        <c:axId val="1277443119"/>
        <c:axId val="1277443535"/>
      </c:areaChart>
      <c:catAx>
        <c:axId val="127744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443535"/>
        <c:crosses val="autoZero"/>
        <c:auto val="1"/>
        <c:lblAlgn val="ctr"/>
        <c:lblOffset val="100"/>
        <c:noMultiLvlLbl val="0"/>
      </c:catAx>
      <c:valAx>
        <c:axId val="1277443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443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Pivot!$B$58</c:f>
              <c:strCache>
                <c:ptCount val="1"/>
                <c:pt idx="0">
                  <c:v>Total</c:v>
                </c:pt>
              </c:strCache>
            </c:strRef>
          </c:tx>
          <c:spPr>
            <a:solidFill>
              <a:schemeClr val="accent1"/>
            </a:solidFill>
            <a:ln>
              <a:noFill/>
            </a:ln>
            <a:effectLst/>
          </c:spPr>
          <c:invertIfNegative val="0"/>
          <c:cat>
            <c:strRef>
              <c:f>Pivot!$A$59:$A$67</c:f>
              <c:strCache>
                <c:ptCount val="8"/>
                <c:pt idx="0">
                  <c:v>0-09</c:v>
                </c:pt>
                <c:pt idx="1">
                  <c:v>10-19</c:v>
                </c:pt>
                <c:pt idx="2">
                  <c:v>20-29</c:v>
                </c:pt>
                <c:pt idx="3">
                  <c:v>30-39</c:v>
                </c:pt>
                <c:pt idx="4">
                  <c:v>40-49</c:v>
                </c:pt>
                <c:pt idx="5">
                  <c:v>50-59</c:v>
                </c:pt>
                <c:pt idx="6">
                  <c:v>60-69</c:v>
                </c:pt>
                <c:pt idx="7">
                  <c:v>70-79</c:v>
                </c:pt>
              </c:strCache>
            </c:strRef>
          </c:cat>
          <c:val>
            <c:numRef>
              <c:f>Pivot!$B$59:$B$67</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5-FDE7-4D5B-9574-0BBF81BEEF3A}"/>
            </c:ext>
          </c:extLst>
        </c:ser>
        <c:dLbls>
          <c:showLegendKey val="0"/>
          <c:showVal val="0"/>
          <c:showCatName val="0"/>
          <c:showSerName val="0"/>
          <c:showPercent val="0"/>
          <c:showBubbleSize val="0"/>
        </c:dLbls>
        <c:gapWidth val="219"/>
        <c:overlap val="-27"/>
        <c:axId val="2055284911"/>
        <c:axId val="2055291983"/>
      </c:barChart>
      <c:catAx>
        <c:axId val="205528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291983"/>
        <c:crosses val="autoZero"/>
        <c:auto val="1"/>
        <c:lblAlgn val="ctr"/>
        <c:lblOffset val="100"/>
        <c:noMultiLvlLbl val="0"/>
      </c:catAx>
      <c:valAx>
        <c:axId val="2055291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28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[hospital-workbook(AutoRecovered).xlsx]Pivot!PivotTable9</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50000"/>
            </a:schemeClr>
          </a:solidFill>
          <a:ln>
            <a:solidFill>
              <a:schemeClr val="bg1">
                <a:alpha val="99000"/>
              </a:schemeClr>
            </a:solidFill>
          </a:ln>
          <a:effectLst>
            <a:outerShdw blurRad="317500" algn="ctr" rotWithShape="0">
              <a:prstClr val="black">
                <a:alpha val="25000"/>
              </a:prstClr>
            </a:outerShdw>
          </a:effectLst>
        </c:spPr>
        <c:dLbl>
          <c:idx val="0"/>
          <c:layout>
            <c:manualLayout>
              <c:x val="-0.16666666666666677"/>
              <c:y val="-6.018518518518518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77000"/>
            </a:schemeClr>
          </a:solidFill>
          <a:ln>
            <a:noFill/>
          </a:ln>
          <a:effectLst>
            <a:outerShdw blurRad="317500" algn="ctr" rotWithShape="0">
              <a:prstClr val="black">
                <a:alpha val="25000"/>
              </a:prstClr>
            </a:outerShdw>
          </a:effectLst>
        </c:spPr>
        <c:dLbl>
          <c:idx val="0"/>
          <c:layout>
            <c:manualLayout>
              <c:x val="0.1722222982122584"/>
              <c:y val="7.870384310419233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14857854123882E-3"/>
          <c:y val="4.5599167125167546E-3"/>
          <c:w val="0.85271150903836346"/>
          <c:h val="0.99544008328748323"/>
        </c:manualLayout>
      </c:layout>
      <c:pieChart>
        <c:varyColors val="1"/>
        <c:ser>
          <c:idx val="0"/>
          <c:order val="0"/>
          <c:tx>
            <c:strRef>
              <c:f>Pivot!$B$76</c:f>
              <c:strCache>
                <c:ptCount val="1"/>
                <c:pt idx="0">
                  <c:v>Total</c:v>
                </c:pt>
              </c:strCache>
            </c:strRef>
          </c:tx>
          <c:dPt>
            <c:idx val="0"/>
            <c:bubble3D val="0"/>
            <c:spPr>
              <a:solidFill>
                <a:schemeClr val="accent5">
                  <a:lumMod val="50000"/>
                </a:schemeClr>
              </a:solidFill>
              <a:ln>
                <a:solidFill>
                  <a:schemeClr val="bg1">
                    <a:alpha val="99000"/>
                  </a:schemeClr>
                </a:solidFill>
              </a:ln>
              <a:effectLst>
                <a:outerShdw blurRad="317500" algn="ctr" rotWithShape="0">
                  <a:prstClr val="black">
                    <a:alpha val="25000"/>
                  </a:prstClr>
                </a:outerShdw>
              </a:effectLst>
            </c:spPr>
          </c:dPt>
          <c:dPt>
            <c:idx val="1"/>
            <c:bubble3D val="0"/>
            <c:spPr>
              <a:solidFill>
                <a:schemeClr val="accent1">
                  <a:tint val="77000"/>
                </a:schemeClr>
              </a:solidFill>
              <a:ln>
                <a:noFill/>
              </a:ln>
              <a:effectLst>
                <a:outerShdw blurRad="317500" algn="ctr" rotWithShape="0">
                  <a:prstClr val="black">
                    <a:alpha val="25000"/>
                  </a:prstClr>
                </a:outerShdw>
              </a:effectLst>
            </c:spPr>
          </c:dPt>
          <c:dLbls>
            <c:dLbl>
              <c:idx val="0"/>
              <c:layout>
                <c:manualLayout>
                  <c:x val="-0.16666666666666677"/>
                  <c:y val="-6.0185185185185182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
              <c:layout>
                <c:manualLayout>
                  <c:x val="0.1722222982122584"/>
                  <c:y val="7.8703843104192331E-2"/>
                </c:manualLayout>
              </c:layout>
              <c:dLblPos val="bestFit"/>
              <c:showLegendKey val="0"/>
              <c:showVal val="0"/>
              <c:showCatName val="1"/>
              <c:showSerName val="0"/>
              <c:showPercent val="1"/>
              <c:showBubbleSize val="0"/>
              <c:extLst>
                <c:ext xmlns:c15="http://schemas.microsoft.com/office/drawing/2012/chart" uri="{CE6537A1-D6FC-4f65-9D91-7224C49458BB}"/>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Pivot!$A$77:$A$79</c:f>
              <c:strCache>
                <c:ptCount val="2"/>
                <c:pt idx="0">
                  <c:v>Delay</c:v>
                </c:pt>
                <c:pt idx="1">
                  <c:v>On-Time</c:v>
                </c:pt>
              </c:strCache>
            </c:strRef>
          </c:cat>
          <c:val>
            <c:numRef>
              <c:f>Pivot!$B$77:$B$79</c:f>
              <c:numCache>
                <c:formatCode>0</c:formatCode>
                <c:ptCount val="2"/>
                <c:pt idx="0">
                  <c:v>297</c:v>
                </c:pt>
                <c:pt idx="1">
                  <c:v>188</c:v>
                </c:pt>
              </c:numCache>
            </c:numRef>
          </c:val>
          <c:extLst>
            <c:ext xmlns:c16="http://schemas.microsoft.com/office/drawing/2014/chart" uri="{C3380CC4-5D6E-409C-BE32-E72D297353CC}">
              <c16:uniqueId val="{00000007-EBC5-4E35-93CA-574B2AAD3BB3}"/>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[hospital-workbook(AutoRecovered).xlsx]Pivot!PivotTable10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Pivot!$B$84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Pivot!$A$85:$A$87</c:f>
              <c:strCache>
                <c:ptCount val="2"/>
                <c:pt idx="0">
                  <c:v>Female</c:v>
                </c:pt>
                <c:pt idx="1">
                  <c:v>Male</c:v>
                </c:pt>
              </c:strCache>
            </c:strRef>
          </c:cat>
          <c:val>
            <c:numRef>
              <c:f>Pivot!$B$85:$B$87</c:f>
              <c:numCache>
                <c:formatCode>0</c:formatCode>
                <c:ptCount val="2"/>
                <c:pt idx="0">
                  <c:v>239</c:v>
                </c:pt>
                <c:pt idx="1">
                  <c:v>246</c:v>
                </c:pt>
              </c:numCache>
            </c:numRef>
          </c:val>
          <c:extLst>
            <c:ext xmlns:c16="http://schemas.microsoft.com/office/drawing/2014/chart" uri="{C3380CC4-5D6E-409C-BE32-E72D297353CC}">
              <c16:uniqueId val="{00000005-9575-4471-83F4-6C570E1C2954}"/>
            </c:ext>
          </c:extLst>
        </c:ser>
        <c:dLbls>
          <c:showLegendKey val="0"/>
          <c:showVal val="0"/>
          <c:showCatName val="0"/>
          <c:showSerName val="0"/>
          <c:showPercent val="0"/>
          <c:showBubbleSize val="0"/>
          <c:showLeaderLines val="1"/>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[hospital-workbook(AutoRecovered).xlsx]Pivot!PivotTable11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91513560804898"/>
          <c:y val="0.17171296296296296"/>
          <c:w val="0.70052930883639541"/>
          <c:h val="0.72088764946048411"/>
        </c:manualLayout>
      </c:layout>
      <c:barChart>
        <c:barDir val="bar"/>
        <c:grouping val="clustered"/>
        <c:varyColors val="0"/>
        <c:ser>
          <c:idx val="0"/>
          <c:order val="0"/>
          <c:tx>
            <c:strRef>
              <c:f>Pivot!$B$91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Pivot!$A$92:$A$100</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Pivot!$B$92:$B$100</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5-F37A-4343-AEE4-887C0C4EF883}"/>
            </c:ext>
          </c:extLst>
        </c:ser>
        <c:dLbls>
          <c:dLblPos val="outEnd"/>
          <c:showLegendKey val="0"/>
          <c:showVal val="1"/>
          <c:showCatName val="0"/>
          <c:showSerName val="0"/>
          <c:showPercent val="0"/>
          <c:showBubbleSize val="0"/>
        </c:dLbls>
        <c:gapWidth val="105"/>
        <c:axId val="2144549023"/>
        <c:axId val="2144546527"/>
      </c:barChart>
      <c:catAx>
        <c:axId val="214454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546527"/>
        <c:crosses val="autoZero"/>
        <c:auto val="1"/>
        <c:lblAlgn val="ctr"/>
        <c:lblOffset val="100"/>
        <c:noMultiLvlLbl val="0"/>
      </c:catAx>
      <c:valAx>
        <c:axId val="214454652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54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[hospital-workbook(AutoRecovered).xlsx]Pivot!PivotTable7</c:name>
    <c:fmtId val="6"/>
  </c:pivotSource>
  <c:chart>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dLbl>
          <c:idx val="0"/>
          <c:tx>
            <c:rich>
              <a:bodyPr rot="0" spcFirstLastPara="1" vertOverflow="ellipsis" vert="horz" wrap="non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61C5B3DC-E915-4C6C-B5B7-387D93993DC9}" type="CELLRANGE">
                  <a:rPr lang="en-US"/>
                  <a:pPr>
                    <a:defRPr b="1">
                      <a:solidFill>
                        <a:sysClr val="windowText" lastClr="000000"/>
                      </a:solidFill>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5">
              <a:lumMod val="50000"/>
            </a:schemeClr>
          </a:solidFill>
          <a:ln>
            <a:noFill/>
          </a:ln>
          <a:effectLst/>
        </c:spPr>
        <c:dLbl>
          <c:idx val="0"/>
          <c:tx>
            <c:rich>
              <a:bodyPr rot="0" spcFirstLastPara="1" vertOverflow="ellipsis" vert="horz" wrap="non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FDC528A8-FC4D-4E8B-9F7A-82B51EE23097}" type="CELLRANGE">
                  <a:rPr lang="en-US"/>
                  <a:pPr>
                    <a:defRPr b="1">
                      <a:solidFill>
                        <a:sysClr val="windowText" lastClr="000000"/>
                      </a:solidFill>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2.962861673438303E-2"/>
          <c:y val="9.4488159684989872E-2"/>
          <c:w val="0.7702333060937061"/>
          <c:h val="0.82375152761109049"/>
        </c:manualLayout>
      </c:layout>
      <c:barChart>
        <c:barDir val="bar"/>
        <c:grouping val="clustered"/>
        <c:varyColors val="0"/>
        <c:ser>
          <c:idx val="0"/>
          <c:order val="0"/>
          <c:tx>
            <c:strRef>
              <c:f>Pivot!$B$42</c:f>
              <c:strCache>
                <c:ptCount val="1"/>
                <c:pt idx="0">
                  <c:v>Count of Patient Admission Flag</c:v>
                </c:pt>
              </c:strCache>
            </c:strRef>
          </c:tx>
          <c:spPr>
            <a:solidFill>
              <a:schemeClr val="accent5">
                <a:lumMod val="50000"/>
              </a:schemeClr>
            </a:solidFill>
            <a:ln>
              <a:noFill/>
            </a:ln>
            <a:effectLst/>
          </c:spPr>
          <c:invertIfNegative val="0"/>
          <c:dLbls>
            <c:dLbl>
              <c:idx val="0"/>
              <c:tx>
                <c:rich>
                  <a:bodyPr/>
                  <a:lstStyle/>
                  <a:p>
                    <a:fld id="{FDC528A8-FC4D-4E8B-9F7A-82B51EE2309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1F1-4DA9-BFF1-2C1D82826CF7}"/>
                </c:ext>
              </c:extLst>
            </c:dLbl>
            <c:dLbl>
              <c:idx val="1"/>
              <c:tx>
                <c:rich>
                  <a:bodyPr/>
                  <a:lstStyle/>
                  <a:p>
                    <a:fld id="{61C5B3DC-E915-4C6C-B5B7-387D93993DC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1F1-4DA9-BFF1-2C1D82826CF7}"/>
                </c:ext>
              </c:extLst>
            </c:dLbl>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Pivot!$A$43:$A$45</c:f>
              <c:strCache>
                <c:ptCount val="2"/>
                <c:pt idx="0">
                  <c:v>Admitted</c:v>
                </c:pt>
                <c:pt idx="1">
                  <c:v>Not-Admitted</c:v>
                </c:pt>
              </c:strCache>
            </c:strRef>
          </c:cat>
          <c:val>
            <c:numRef>
              <c:f>Pivot!$B$43:$B$45</c:f>
              <c:numCache>
                <c:formatCode>0</c:formatCode>
                <c:ptCount val="2"/>
                <c:pt idx="0">
                  <c:v>235</c:v>
                </c:pt>
                <c:pt idx="1">
                  <c:v>250</c:v>
                </c:pt>
              </c:numCache>
            </c:numRef>
          </c:val>
          <c:extLst>
            <c:ext xmlns:c15="http://schemas.microsoft.com/office/drawing/2012/chart" uri="{02D57815-91ED-43cb-92C2-25804820EDAC}">
              <c15:datalabelsRange>
                <c15:f>Pivot!$C$43:$C$44</c15:f>
                <c15:dlblRangeCache>
                  <c:ptCount val="2"/>
                  <c:pt idx="0">
                    <c:v>48.45%</c:v>
                  </c:pt>
                  <c:pt idx="1">
                    <c:v>51.55%</c:v>
                  </c:pt>
                </c15:dlblRangeCache>
              </c15:datalabelsRange>
            </c:ext>
            <c:ext xmlns:c16="http://schemas.microsoft.com/office/drawing/2014/chart" uri="{C3380CC4-5D6E-409C-BE32-E72D297353CC}">
              <c16:uniqueId val="{0000000D-D1F1-4DA9-BFF1-2C1D82826CF7}"/>
            </c:ext>
          </c:extLst>
        </c:ser>
        <c:ser>
          <c:idx val="1"/>
          <c:order val="1"/>
          <c:tx>
            <c:strRef>
              <c:f>Pivot!$C$42</c:f>
              <c:strCache>
                <c:ptCount val="1"/>
                <c:pt idx="0">
                  <c:v>Count of Patient Admission Flag2</c:v>
                </c:pt>
              </c:strCache>
            </c:strRef>
          </c:tx>
          <c:spPr>
            <a:noFill/>
            <a:ln>
              <a:noFill/>
            </a:ln>
            <a:effectLst/>
          </c:spPr>
          <c:invertIfNegative val="0"/>
          <c:cat>
            <c:strRef>
              <c:f>Pivot!$A$43:$A$45</c:f>
              <c:strCache>
                <c:ptCount val="2"/>
                <c:pt idx="0">
                  <c:v>Admitted</c:v>
                </c:pt>
                <c:pt idx="1">
                  <c:v>Not-Admitted</c:v>
                </c:pt>
              </c:strCache>
            </c:strRef>
          </c:cat>
          <c:val>
            <c:numRef>
              <c:f>Pivot!$C$43:$C$45</c:f>
              <c:numCache>
                <c:formatCode>0.00%</c:formatCode>
                <c:ptCount val="2"/>
                <c:pt idx="0">
                  <c:v>0.4845360824742268</c:v>
                </c:pt>
                <c:pt idx="1">
                  <c:v>0.51546391752577314</c:v>
                </c:pt>
              </c:numCache>
            </c:numRef>
          </c:val>
          <c:extLst>
            <c:ext xmlns:c16="http://schemas.microsoft.com/office/drawing/2014/chart" uri="{C3380CC4-5D6E-409C-BE32-E72D297353CC}">
              <c16:uniqueId val="{0000000E-D1F1-4DA9-BFF1-2C1D82826CF7}"/>
            </c:ext>
          </c:extLst>
        </c:ser>
        <c:dLbls>
          <c:dLblPos val="outEnd"/>
          <c:showLegendKey val="0"/>
          <c:showVal val="0"/>
          <c:showCatName val="0"/>
          <c:showSerName val="0"/>
          <c:showPercent val="0"/>
          <c:showBubbleSize val="0"/>
        </c:dLbls>
        <c:gapWidth val="0"/>
        <c:axId val="91732655"/>
        <c:axId val="91726831"/>
      </c:barChart>
      <c:catAx>
        <c:axId val="91732655"/>
        <c:scaling>
          <c:orientation val="minMax"/>
        </c:scaling>
        <c:delete val="1"/>
        <c:axPos val="l"/>
        <c:numFmt formatCode="General" sourceLinked="1"/>
        <c:majorTickMark val="none"/>
        <c:minorTickMark val="none"/>
        <c:tickLblPos val="nextTo"/>
        <c:crossAx val="91726831"/>
        <c:crosses val="autoZero"/>
        <c:auto val="1"/>
        <c:lblAlgn val="ctr"/>
        <c:lblOffset val="100"/>
        <c:noMultiLvlLbl val="0"/>
      </c:catAx>
      <c:valAx>
        <c:axId val="91726831"/>
        <c:scaling>
          <c:orientation val="minMax"/>
        </c:scaling>
        <c:delete val="1"/>
        <c:axPos val="b"/>
        <c:numFmt formatCode="0" sourceLinked="1"/>
        <c:majorTickMark val="none"/>
        <c:minorTickMark val="none"/>
        <c:tickLblPos val="nextTo"/>
        <c:crossAx val="9173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Pivot!$E$4</c:f>
              <c:strCache>
                <c:ptCount val="1"/>
                <c:pt idx="0">
                  <c:v>Total</c:v>
                </c:pt>
              </c:strCache>
            </c:strRef>
          </c:tx>
          <c:spPr>
            <a:solidFill>
              <a:schemeClr val="accent5">
                <a:lumMod val="50000"/>
              </a:schemeClr>
            </a:solidFill>
            <a:ln w="25400">
              <a:noFill/>
            </a:ln>
            <a:effectLst/>
          </c:spPr>
          <c:cat>
            <c:multiLvlStrRef>
              <c:f>Pivot!$D$5:$D$36</c:f>
              <c:multiLvlStrCache>
                <c:ptCount val="30"/>
                <c:lvl>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lvl>
                <c:lvl>
                  <c:pt idx="0">
                    <c:v>Jun</c:v>
                  </c:pt>
                </c:lvl>
              </c:multiLvlStrCache>
            </c:multiLvlStrRef>
          </c:cat>
          <c:val>
            <c:numRef>
              <c:f>Pivot!$E$5:$E$36</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4-28B4-4CB3-9970-26845B619AA1}"/>
            </c:ext>
          </c:extLst>
        </c:ser>
        <c:dLbls>
          <c:showLegendKey val="0"/>
          <c:showVal val="0"/>
          <c:showCatName val="0"/>
          <c:showSerName val="0"/>
          <c:showPercent val="0"/>
          <c:showBubbleSize val="0"/>
        </c:dLbls>
        <c:axId val="1801574479"/>
        <c:axId val="1801575727"/>
      </c:areaChart>
      <c:catAx>
        <c:axId val="1801574479"/>
        <c:scaling>
          <c:orientation val="minMax"/>
        </c:scaling>
        <c:delete val="1"/>
        <c:axPos val="b"/>
        <c:numFmt formatCode="General" sourceLinked="1"/>
        <c:majorTickMark val="out"/>
        <c:minorTickMark val="none"/>
        <c:tickLblPos val="nextTo"/>
        <c:crossAx val="1801575727"/>
        <c:crosses val="autoZero"/>
        <c:auto val="1"/>
        <c:lblAlgn val="ctr"/>
        <c:lblOffset val="100"/>
        <c:noMultiLvlLbl val="0"/>
      </c:catAx>
      <c:valAx>
        <c:axId val="1801575727"/>
        <c:scaling>
          <c:orientation val="minMax"/>
        </c:scaling>
        <c:delete val="1"/>
        <c:axPos val="l"/>
        <c:numFmt formatCode="General" sourceLinked="1"/>
        <c:majorTickMark val="none"/>
        <c:minorTickMark val="none"/>
        <c:tickLblPos val="nextTo"/>
        <c:crossAx val="18015744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31899824326864E-2"/>
          <c:y val="0.15137609211294803"/>
          <c:w val="0.92933620035134623"/>
          <c:h val="0.848623907887052"/>
        </c:manualLayout>
      </c:layout>
      <c:areaChart>
        <c:grouping val="standard"/>
        <c:varyColors val="0"/>
        <c:ser>
          <c:idx val="0"/>
          <c:order val="0"/>
          <c:tx>
            <c:strRef>
              <c:f>Pivot!$S$6</c:f>
              <c:strCache>
                <c:ptCount val="1"/>
                <c:pt idx="0">
                  <c:v>Total</c:v>
                </c:pt>
              </c:strCache>
            </c:strRef>
          </c:tx>
          <c:spPr>
            <a:solidFill>
              <a:schemeClr val="accent5">
                <a:lumMod val="50000"/>
              </a:schemeClr>
            </a:solidFill>
            <a:ln w="25400">
              <a:noFill/>
            </a:ln>
            <a:effectLst/>
          </c:spPr>
          <c:cat>
            <c:strRef>
              <c:f>Pivot!$R$7:$R$37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Pivot!$S$7:$S$37</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4-AB33-4DA1-92F9-1F96ECACB677}"/>
            </c:ext>
          </c:extLst>
        </c:ser>
        <c:dLbls>
          <c:showLegendKey val="0"/>
          <c:showVal val="0"/>
          <c:showCatName val="0"/>
          <c:showSerName val="0"/>
          <c:showPercent val="0"/>
          <c:showBubbleSize val="0"/>
        </c:dLbls>
        <c:axId val="1814060719"/>
        <c:axId val="1814061551"/>
      </c:areaChart>
      <c:catAx>
        <c:axId val="1814060719"/>
        <c:scaling>
          <c:orientation val="minMax"/>
        </c:scaling>
        <c:delete val="1"/>
        <c:axPos val="b"/>
        <c:numFmt formatCode="General" sourceLinked="1"/>
        <c:majorTickMark val="out"/>
        <c:minorTickMark val="none"/>
        <c:tickLblPos val="nextTo"/>
        <c:crossAx val="1814061551"/>
        <c:crosses val="autoZero"/>
        <c:auto val="1"/>
        <c:lblAlgn val="ctr"/>
        <c:lblOffset val="100"/>
        <c:noMultiLvlLbl val="0"/>
      </c:catAx>
      <c:valAx>
        <c:axId val="1814061551"/>
        <c:scaling>
          <c:orientation val="minMax"/>
        </c:scaling>
        <c:delete val="1"/>
        <c:axPos val="l"/>
        <c:numFmt formatCode="0.00" sourceLinked="1"/>
        <c:majorTickMark val="none"/>
        <c:minorTickMark val="none"/>
        <c:tickLblPos val="nextTo"/>
        <c:crossAx val="18140607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4563117929147565E-2"/>
          <c:w val="0.98760330376835159"/>
          <c:h val="0.98543688207085234"/>
        </c:manualLayout>
      </c:layout>
      <c:areaChart>
        <c:grouping val="standard"/>
        <c:varyColors val="0"/>
        <c:ser>
          <c:idx val="0"/>
          <c:order val="0"/>
          <c:tx>
            <c:strRef>
              <c:f>Pivot!$AA$6</c:f>
              <c:strCache>
                <c:ptCount val="1"/>
                <c:pt idx="0">
                  <c:v>Total</c:v>
                </c:pt>
              </c:strCache>
            </c:strRef>
          </c:tx>
          <c:spPr>
            <a:solidFill>
              <a:schemeClr val="accent5">
                <a:lumMod val="50000"/>
              </a:schemeClr>
            </a:solidFill>
            <a:ln w="25400">
              <a:noFill/>
            </a:ln>
            <a:effectLst/>
          </c:spPr>
          <c:cat>
            <c:strRef>
              <c:f>Pivot!$Z$7:$Z$37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Pivot!$AA$7:$AA$37</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4-92F6-4A02-9B07-81BB5A144B6C}"/>
            </c:ext>
          </c:extLst>
        </c:ser>
        <c:dLbls>
          <c:showLegendKey val="0"/>
          <c:showVal val="0"/>
          <c:showCatName val="0"/>
          <c:showSerName val="0"/>
          <c:showPercent val="0"/>
          <c:showBubbleSize val="0"/>
        </c:dLbls>
        <c:axId val="1277443119"/>
        <c:axId val="1277443535"/>
      </c:areaChart>
      <c:catAx>
        <c:axId val="1277443119"/>
        <c:scaling>
          <c:orientation val="minMax"/>
        </c:scaling>
        <c:delete val="1"/>
        <c:axPos val="b"/>
        <c:numFmt formatCode="General" sourceLinked="1"/>
        <c:majorTickMark val="out"/>
        <c:minorTickMark val="none"/>
        <c:tickLblPos val="nextTo"/>
        <c:crossAx val="1277443535"/>
        <c:crosses val="autoZero"/>
        <c:auto val="1"/>
        <c:lblAlgn val="ctr"/>
        <c:lblOffset val="100"/>
        <c:noMultiLvlLbl val="0"/>
      </c:catAx>
      <c:valAx>
        <c:axId val="1277443535"/>
        <c:scaling>
          <c:orientation val="minMax"/>
        </c:scaling>
        <c:delete val="1"/>
        <c:axPos val="l"/>
        <c:numFmt formatCode="0.00" sourceLinked="1"/>
        <c:majorTickMark val="none"/>
        <c:minorTickMark val="none"/>
        <c:tickLblPos val="nextTo"/>
        <c:crossAx val="12774431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Number</a:t>
            </a:r>
            <a:r>
              <a:rPr lang="en-US" sz="1800" b="1" baseline="0">
                <a:solidFill>
                  <a:sysClr val="windowText" lastClr="000000"/>
                </a:solidFill>
              </a:rPr>
              <a:t> of Patient By Age Group</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Pivot!$B$58</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Pivot!$A$59:$A$67</c:f>
              <c:strCache>
                <c:ptCount val="8"/>
                <c:pt idx="0">
                  <c:v>0-09</c:v>
                </c:pt>
                <c:pt idx="1">
                  <c:v>10-19</c:v>
                </c:pt>
                <c:pt idx="2">
                  <c:v>20-29</c:v>
                </c:pt>
                <c:pt idx="3">
                  <c:v>30-39</c:v>
                </c:pt>
                <c:pt idx="4">
                  <c:v>40-49</c:v>
                </c:pt>
                <c:pt idx="5">
                  <c:v>50-59</c:v>
                </c:pt>
                <c:pt idx="6">
                  <c:v>60-69</c:v>
                </c:pt>
                <c:pt idx="7">
                  <c:v>70-79</c:v>
                </c:pt>
              </c:strCache>
            </c:strRef>
          </c:cat>
          <c:val>
            <c:numRef>
              <c:f>Pivot!$B$59:$B$67</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5-9697-4058-86F1-565DD3696B33}"/>
            </c:ext>
          </c:extLst>
        </c:ser>
        <c:dLbls>
          <c:dLblPos val="outEnd"/>
          <c:showLegendKey val="0"/>
          <c:showVal val="1"/>
          <c:showCatName val="0"/>
          <c:showSerName val="0"/>
          <c:showPercent val="0"/>
          <c:showBubbleSize val="0"/>
        </c:dLbls>
        <c:gapWidth val="219"/>
        <c:overlap val="-27"/>
        <c:axId val="2055284911"/>
        <c:axId val="2055291983"/>
      </c:barChart>
      <c:catAx>
        <c:axId val="205528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5291983"/>
        <c:crosses val="autoZero"/>
        <c:auto val="1"/>
        <c:lblAlgn val="ctr"/>
        <c:lblOffset val="100"/>
        <c:noMultiLvlLbl val="0"/>
      </c:catAx>
      <c:valAx>
        <c:axId val="2055291983"/>
        <c:scaling>
          <c:orientation val="minMax"/>
        </c:scaling>
        <c:delete val="1"/>
        <c:axPos val="l"/>
        <c:numFmt formatCode="0" sourceLinked="1"/>
        <c:majorTickMark val="none"/>
        <c:minorTickMark val="none"/>
        <c:tickLblPos val="nextTo"/>
        <c:crossAx val="205528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[hospital-workbook(AutoRecovered).xlsx]Pivot!PivotTable9</c:name>
    <c:fmtId val="7"/>
  </c:pivotSource>
  <c:chart>
    <c:title>
      <c:tx>
        <c:rich>
          <a:bodyPr rot="0" spcFirstLastPara="1" vertOverflow="ellipsis" vert="horz" wrap="square" anchor="t" anchorCtr="1"/>
          <a:lstStyle/>
          <a:p>
            <a:pPr>
              <a:defRPr sz="1800" b="1" i="0" u="none" strike="noStrike" kern="1200" baseline="0">
                <a:solidFill>
                  <a:schemeClr val="dk1">
                    <a:lumMod val="65000"/>
                    <a:lumOff val="35000"/>
                  </a:schemeClr>
                </a:solidFill>
                <a:latin typeface="+mn-lt"/>
                <a:ea typeface="+mn-ea"/>
                <a:cs typeface="+mn-cs"/>
              </a:defRPr>
            </a:pPr>
            <a:r>
              <a:rPr lang="en-US">
                <a:solidFill>
                  <a:sysClr val="windowText" lastClr="000000"/>
                </a:solidFill>
              </a:rPr>
              <a:t>Patient</a:t>
            </a:r>
            <a:r>
              <a:rPr lang="en-US" baseline="0">
                <a:solidFill>
                  <a:sysClr val="windowText" lastClr="000000"/>
                </a:solidFill>
              </a:rPr>
              <a:t> Attend Status</a:t>
            </a:r>
            <a:endParaRPr lang="en-US">
              <a:solidFill>
                <a:sysClr val="windowText" lastClr="000000"/>
              </a:solidFill>
            </a:endParaRPr>
          </a:p>
        </c:rich>
      </c:tx>
      <c:layout>
        <c:manualLayout>
          <c:xMode val="edge"/>
          <c:yMode val="edge"/>
          <c:x val="0.15653797307594614"/>
          <c:y val="0"/>
        </c:manualLayout>
      </c:layout>
      <c:overlay val="0"/>
      <c:spPr>
        <a:noFill/>
        <a:ln>
          <a:noFill/>
        </a:ln>
        <a:effectLst/>
      </c:spPr>
      <c:txPr>
        <a:bodyPr rot="0" spcFirstLastPara="1" vertOverflow="ellipsis" vert="horz" wrap="square" anchor="t"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0.16666666666666677"/>
              <c:y val="-6.018518518518518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outerShdw blurRad="317500" algn="ctr" rotWithShape="0">
              <a:prstClr val="black">
                <a:alpha val="25000"/>
              </a:prstClr>
            </a:outerShdw>
          </a:effectLst>
        </c:spPr>
        <c:dLbl>
          <c:idx val="0"/>
          <c:layout>
            <c:manualLayout>
              <c:x val="0.1722222982122584"/>
              <c:y val="7.870384310419233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317500" algn="ctr" rotWithShape="0">
              <a:prstClr val="black">
                <a:alpha val="25000"/>
              </a:prstClr>
            </a:outerShdw>
          </a:effectLst>
        </c:spPr>
        <c:dLbl>
          <c:idx val="0"/>
          <c:layout>
            <c:manualLayout>
              <c:x val="-0.16666666666666677"/>
              <c:y val="-6.018518518518518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1722222982122584"/>
              <c:y val="7.870384310419233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50000"/>
            </a:schemeClr>
          </a:solidFill>
          <a:ln>
            <a:noFill/>
          </a:ln>
          <a:effectLst>
            <a:outerShdw blurRad="317500" algn="ctr" rotWithShape="0">
              <a:prstClr val="black">
                <a:alpha val="25000"/>
              </a:prstClr>
            </a:outerShdw>
          </a:effectLst>
        </c:spPr>
        <c:dLbl>
          <c:idx val="0"/>
          <c:layout>
            <c:manualLayout>
              <c:x val="-0.13957751248835831"/>
              <c:y val="-8.8460390915806389E-2"/>
            </c:manualLayout>
          </c:layout>
          <c:spPr>
            <a:noFill/>
            <a:ln w="9525">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174413682160697"/>
                  <c:h val="0.18835894787309126"/>
                </c:manualLayout>
              </c15:layout>
            </c:ext>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0.15609347218694436"/>
              <c:y val="8.3930228586361358E-2"/>
            </c:manualLayout>
          </c:layout>
          <c:spPr>
            <a:noFill/>
            <a:ln w="9525">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287316907967152"/>
                  <c:h val="0.15839436034297213"/>
                </c:manualLayout>
              </c15:layout>
            </c:ext>
          </c:extLst>
        </c:dLbl>
      </c:pivotFmt>
    </c:pivotFmts>
    <c:plotArea>
      <c:layout>
        <c:manualLayout>
          <c:layoutTarget val="inner"/>
          <c:xMode val="edge"/>
          <c:yMode val="edge"/>
          <c:x val="0.10956862247057826"/>
          <c:y val="0.22846660507379826"/>
          <c:w val="0.80840530014393364"/>
          <c:h val="0.76630691767475256"/>
        </c:manualLayout>
      </c:layout>
      <c:pieChart>
        <c:varyColors val="1"/>
        <c:ser>
          <c:idx val="0"/>
          <c:order val="0"/>
          <c:tx>
            <c:strRef>
              <c:f>Pivot!$B$76</c:f>
              <c:strCache>
                <c:ptCount val="1"/>
                <c:pt idx="0">
                  <c:v>Total</c:v>
                </c:pt>
              </c:strCache>
            </c:strRef>
          </c:tx>
          <c:dPt>
            <c:idx val="0"/>
            <c:bubble3D val="0"/>
            <c:spPr>
              <a:solidFill>
                <a:schemeClr val="accent5">
                  <a:lumMod val="50000"/>
                </a:schemeClr>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layout>
                <c:manualLayout>
                  <c:x val="-0.13957751248835831"/>
                  <c:y val="-8.846039091580638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174413682160697"/>
                      <c:h val="0.18835894787309126"/>
                    </c:manualLayout>
                  </c15:layout>
                </c:ext>
              </c:extLst>
            </c:dLbl>
            <c:dLbl>
              <c:idx val="1"/>
              <c:layout>
                <c:manualLayout>
                  <c:x val="0.15609347218694436"/>
                  <c:y val="8.393022858636135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287316907967152"/>
                      <c:h val="0.15839436034297213"/>
                    </c:manualLayout>
                  </c15:layout>
                </c:ext>
              </c:extLst>
            </c:dLbl>
            <c:spPr>
              <a:noFill/>
              <a:ln w="9525">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Pivot!$A$77:$A$79</c:f>
              <c:strCache>
                <c:ptCount val="2"/>
                <c:pt idx="0">
                  <c:v>Delay</c:v>
                </c:pt>
                <c:pt idx="1">
                  <c:v>On-Time</c:v>
                </c:pt>
              </c:strCache>
            </c:strRef>
          </c:cat>
          <c:val>
            <c:numRef>
              <c:f>Pivot!$B$77:$B$79</c:f>
              <c:numCache>
                <c:formatCode>0</c:formatCode>
                <c:ptCount val="2"/>
                <c:pt idx="0">
                  <c:v>297</c:v>
                </c:pt>
                <c:pt idx="1">
                  <c:v>188</c:v>
                </c:pt>
              </c:numCache>
            </c:numRef>
          </c:val>
          <c:extLst>
            <c:ext xmlns:c16="http://schemas.microsoft.com/office/drawing/2014/chart" uri="{C3380CC4-5D6E-409C-BE32-E72D297353CC}">
              <c16:uniqueId val="{00000009-1F6E-4B01-B3D2-FB93AF1A13F4}"/>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Patient</a:t>
            </a:r>
            <a:r>
              <a:rPr lang="en-US" sz="1800" b="1" baseline="0">
                <a:solidFill>
                  <a:schemeClr val="tx1"/>
                </a:solidFill>
              </a:rPr>
              <a:t> Gender Percentage</a:t>
            </a:r>
            <a:endParaRPr lang="en-US" sz="1800" b="1">
              <a:solidFill>
                <a:schemeClr val="tx1"/>
              </a:solidFill>
            </a:endParaRPr>
          </a:p>
        </c:rich>
      </c:tx>
      <c:layout>
        <c:manualLayout>
          <c:xMode val="edge"/>
          <c:yMode val="edge"/>
          <c:x val="0.16635356924840458"/>
          <c:y val="1.03806129384123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lumMod val="50000"/>
            </a:schemeClr>
          </a:solidFill>
          <a:ln w="19050">
            <a:noFill/>
          </a:ln>
          <a:effectLst/>
        </c:spPr>
        <c:dLbl>
          <c:idx val="0"/>
          <c:layout>
            <c:manualLayout>
              <c:x val="-1.0526372500142036E-2"/>
              <c:y val="2.595153234603078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noFill/>
          </a:ln>
          <a:effectLst/>
        </c:spPr>
      </c:pivotFmt>
    </c:pivotFmts>
    <c:plotArea>
      <c:layout>
        <c:manualLayout>
          <c:layoutTarget val="inner"/>
          <c:xMode val="edge"/>
          <c:yMode val="edge"/>
          <c:x val="0.11426916100252506"/>
          <c:y val="0.24441153163491797"/>
          <c:w val="0.75567170482062274"/>
          <c:h val="0.74520785542666979"/>
        </c:manualLayout>
      </c:layout>
      <c:doughnutChart>
        <c:varyColors val="1"/>
        <c:ser>
          <c:idx val="0"/>
          <c:order val="0"/>
          <c:tx>
            <c:strRef>
              <c:f>Pivot!$B$84</c:f>
              <c:strCache>
                <c:ptCount val="1"/>
                <c:pt idx="0">
                  <c:v>Total</c:v>
                </c:pt>
              </c:strCache>
            </c:strRef>
          </c:tx>
          <c:spPr>
            <a:ln>
              <a:noFill/>
            </a:ln>
          </c:spPr>
          <c:dPt>
            <c:idx val="0"/>
            <c:bubble3D val="0"/>
            <c:spPr>
              <a:solidFill>
                <a:schemeClr val="accent5">
                  <a:lumMod val="50000"/>
                </a:schemeClr>
              </a:solidFill>
              <a:ln w="19050">
                <a:noFill/>
              </a:ln>
              <a:effectLst/>
            </c:spPr>
          </c:dPt>
          <c:dPt>
            <c:idx val="1"/>
            <c:bubble3D val="0"/>
            <c:spPr>
              <a:solidFill>
                <a:schemeClr val="accent2"/>
              </a:solidFill>
              <a:ln w="19050">
                <a:noFill/>
              </a:ln>
              <a:effectLst/>
            </c:spPr>
          </c:dPt>
          <c:dLbls>
            <c:dLbl>
              <c:idx val="0"/>
              <c:layout>
                <c:manualLayout>
                  <c:x val="-1.0526372500142036E-2"/>
                  <c:y val="2.5951532346030783E-2"/>
                </c:manualLayout>
              </c:layou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Pivot!$A$85:$A$87</c:f>
              <c:strCache>
                <c:ptCount val="2"/>
                <c:pt idx="0">
                  <c:v>Female</c:v>
                </c:pt>
                <c:pt idx="1">
                  <c:v>Male</c:v>
                </c:pt>
              </c:strCache>
            </c:strRef>
          </c:cat>
          <c:val>
            <c:numRef>
              <c:f>Pivot!$B$85:$B$87</c:f>
              <c:numCache>
                <c:formatCode>0</c:formatCode>
                <c:ptCount val="2"/>
                <c:pt idx="0">
                  <c:v>239</c:v>
                </c:pt>
                <c:pt idx="1">
                  <c:v>246</c:v>
                </c:pt>
              </c:numCache>
            </c:numRef>
          </c:val>
          <c:extLst>
            <c:ext xmlns:c16="http://schemas.microsoft.com/office/drawing/2014/chart" uri="{C3380CC4-5D6E-409C-BE32-E72D297353CC}">
              <c16:uniqueId val="{00000009-4D2E-4D0F-BAA8-5F27DCA5AF9C}"/>
            </c:ext>
          </c:extLst>
        </c:ser>
        <c:dLbls>
          <c:showLegendKey val="0"/>
          <c:showVal val="0"/>
          <c:showCatName val="0"/>
          <c:showSerName val="0"/>
          <c:showPercent val="0"/>
          <c:showBubbleSize val="0"/>
          <c:showLeaderLines val="1"/>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No.</a:t>
            </a:r>
            <a:r>
              <a:rPr lang="en-US" sz="1800" b="1" baseline="0">
                <a:solidFill>
                  <a:schemeClr val="tx1"/>
                </a:solidFill>
              </a:rPr>
              <a:t> of Patient By Department Referrel</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96484066700761"/>
          <c:y val="0.17171296296296296"/>
          <c:w val="0.76818738595394587"/>
          <c:h val="0.8187987783140882"/>
        </c:manualLayout>
      </c:layout>
      <c:barChart>
        <c:barDir val="bar"/>
        <c:grouping val="clustered"/>
        <c:varyColors val="0"/>
        <c:ser>
          <c:idx val="0"/>
          <c:order val="0"/>
          <c:tx>
            <c:strRef>
              <c:f>Pivot!$B$91</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Pivot!$A$92:$A$100</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Pivot!$B$92:$B$100</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5-775B-4A4C-ABFB-665E0BFC2F52}"/>
            </c:ext>
          </c:extLst>
        </c:ser>
        <c:dLbls>
          <c:dLblPos val="outEnd"/>
          <c:showLegendKey val="0"/>
          <c:showVal val="1"/>
          <c:showCatName val="0"/>
          <c:showSerName val="0"/>
          <c:showPercent val="0"/>
          <c:showBubbleSize val="0"/>
        </c:dLbls>
        <c:gapWidth val="20"/>
        <c:axId val="2144549023"/>
        <c:axId val="2144546527"/>
      </c:barChart>
      <c:catAx>
        <c:axId val="214454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44546527"/>
        <c:crosses val="autoZero"/>
        <c:auto val="1"/>
        <c:lblAlgn val="ctr"/>
        <c:lblOffset val="100"/>
        <c:noMultiLvlLbl val="0"/>
      </c:catAx>
      <c:valAx>
        <c:axId val="2144546527"/>
        <c:scaling>
          <c:orientation val="minMax"/>
        </c:scaling>
        <c:delete val="1"/>
        <c:axPos val="b"/>
        <c:numFmt formatCode="0" sourceLinked="1"/>
        <c:majorTickMark val="none"/>
        <c:minorTickMark val="none"/>
        <c:tickLblPos val="nextTo"/>
        <c:crossAx val="214454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ysClr val="windowText" lastClr="000000"/>
                </a:solidFill>
              </a:rPr>
              <a:t>Emergency Room Daily Number Of Patient Visit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Pivot!$E$4</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Pivot!$D$5:$D$36</c:f>
              <c:multiLvlStrCache>
                <c:ptCount val="30"/>
                <c:lvl>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lvl>
                <c:lvl>
                  <c:pt idx="0">
                    <c:v>Jun</c:v>
                  </c:pt>
                </c:lvl>
              </c:multiLvlStrCache>
            </c:multiLvlStrRef>
          </c:cat>
          <c:val>
            <c:numRef>
              <c:f>Pivot!$E$5:$E$36</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4-DFE0-42C5-B758-87165AE45F9C}"/>
            </c:ext>
          </c:extLst>
        </c:ser>
        <c:dLbls>
          <c:showLegendKey val="0"/>
          <c:showVal val="1"/>
          <c:showCatName val="0"/>
          <c:showSerName val="0"/>
          <c:showPercent val="0"/>
          <c:showBubbleSize val="0"/>
        </c:dLbls>
        <c:axId val="1801574479"/>
        <c:axId val="1801575727"/>
      </c:areaChart>
      <c:catAx>
        <c:axId val="1801574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75727"/>
        <c:crosses val="autoZero"/>
        <c:auto val="1"/>
        <c:lblAlgn val="ctr"/>
        <c:lblOffset val="100"/>
        <c:noMultiLvlLbl val="0"/>
      </c:catAx>
      <c:valAx>
        <c:axId val="1801575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744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ysClr val="windowText" lastClr="000000"/>
                </a:solidFill>
              </a:rPr>
              <a:t>Emergency room daily average wait-time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1845534233593934E-3"/>
              <c:y val="-3.903903903903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073205401563609E-3"/>
          <c:y val="0.15385046463786622"/>
          <c:w val="0.98578535891968733"/>
          <c:h val="0.66724574968669448"/>
        </c:manualLayout>
      </c:layout>
      <c:areaChart>
        <c:grouping val="standard"/>
        <c:varyColors val="0"/>
        <c:ser>
          <c:idx val="0"/>
          <c:order val="0"/>
          <c:tx>
            <c:strRef>
              <c:f>Pivot!$S$6</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Pivot!$R$7:$R$37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Pivot!$S$7:$S$37</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6-CAEA-4B58-8CF6-11BF388498A9}"/>
            </c:ext>
          </c:extLst>
        </c:ser>
        <c:dLbls>
          <c:showLegendKey val="0"/>
          <c:showVal val="1"/>
          <c:showCatName val="0"/>
          <c:showSerName val="0"/>
          <c:showPercent val="0"/>
          <c:showBubbleSize val="0"/>
        </c:dLbls>
        <c:axId val="1814060719"/>
        <c:axId val="1814061551"/>
      </c:areaChart>
      <c:catAx>
        <c:axId val="1814060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061551"/>
        <c:crosses val="autoZero"/>
        <c:auto val="1"/>
        <c:lblAlgn val="ctr"/>
        <c:lblOffset val="100"/>
        <c:noMultiLvlLbl val="0"/>
      </c:catAx>
      <c:valAx>
        <c:axId val="1814061551"/>
        <c:scaling>
          <c:orientation val="minMax"/>
        </c:scaling>
        <c:delete val="1"/>
        <c:axPos val="l"/>
        <c:numFmt formatCode="0.00" sourceLinked="1"/>
        <c:majorTickMark val="none"/>
        <c:minorTickMark val="none"/>
        <c:tickLblPos val="nextTo"/>
        <c:crossAx val="18140607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[hospital-workbook(AutoRecovered).xlsx]Pivot!PivotTable6</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ysClr val="windowText" lastClr="000000"/>
                </a:solidFill>
              </a:rPr>
              <a:t>Emergency Room Daily Satisfaction Average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11094108645756E-3"/>
          <c:y val="0.12145555373286672"/>
          <c:w val="0.98469778117827089"/>
          <c:h val="0.7684219160104987"/>
        </c:manualLayout>
      </c:layout>
      <c:areaChart>
        <c:grouping val="standard"/>
        <c:varyColors val="0"/>
        <c:ser>
          <c:idx val="0"/>
          <c:order val="0"/>
          <c:tx>
            <c:strRef>
              <c:f>Pivot!$AA$6</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Pivot!$Z$7:$Z$37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Pivot!$AA$7:$AA$37</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5-1554-490A-9748-E390D3A5194C}"/>
            </c:ext>
          </c:extLst>
        </c:ser>
        <c:dLbls>
          <c:showLegendKey val="0"/>
          <c:showVal val="1"/>
          <c:showCatName val="0"/>
          <c:showSerName val="0"/>
          <c:showPercent val="0"/>
          <c:showBubbleSize val="0"/>
        </c:dLbls>
        <c:axId val="1277443119"/>
        <c:axId val="1277443535"/>
      </c:areaChart>
      <c:catAx>
        <c:axId val="127744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443535"/>
        <c:crosses val="autoZero"/>
        <c:auto val="1"/>
        <c:lblAlgn val="ctr"/>
        <c:lblOffset val="100"/>
        <c:noMultiLvlLbl val="0"/>
      </c:catAx>
      <c:valAx>
        <c:axId val="1277443535"/>
        <c:scaling>
          <c:orientation val="minMax"/>
        </c:scaling>
        <c:delete val="1"/>
        <c:axPos val="l"/>
        <c:numFmt formatCode="0.00" sourceLinked="1"/>
        <c:majorTickMark val="none"/>
        <c:minorTickMark val="none"/>
        <c:tickLblPos val="nextTo"/>
        <c:crossAx val="12774431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ER Daily No. of patient visit'!A1"/><Relationship Id="rId13" Type="http://schemas.openxmlformats.org/officeDocument/2006/relationships/chart" Target="../charts/chart11.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aily Satisfaction Rate'!A1"/><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svg"/><Relationship Id="rId15" Type="http://schemas.openxmlformats.org/officeDocument/2006/relationships/chart" Target="../charts/chart13.xml"/><Relationship Id="rId10" Type="http://schemas.openxmlformats.org/officeDocument/2006/relationships/hyperlink" Target="#'ER Daily Avg. Waittime'!A1"/><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6</xdr:col>
      <xdr:colOff>22860</xdr:colOff>
      <xdr:row>3</xdr:row>
      <xdr:rowOff>7620</xdr:rowOff>
    </xdr:from>
    <xdr:to>
      <xdr:col>9</xdr:col>
      <xdr:colOff>65061</xdr:colOff>
      <xdr:row>22</xdr:row>
      <xdr:rowOff>175260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4400BAB5-DE73-475F-AF4C-28B97247C6E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989320" y="556260"/>
              <a:ext cx="1828800" cy="3642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555036</xdr:colOff>
      <xdr:row>21</xdr:row>
      <xdr:rowOff>110066</xdr:rowOff>
    </xdr:from>
    <xdr:to>
      <xdr:col>12</xdr:col>
      <xdr:colOff>28221</xdr:colOff>
      <xdr:row>29</xdr:row>
      <xdr:rowOff>9408</xdr:rowOff>
    </xdr:to>
    <xdr:graphicFrame macro="">
      <xdr:nvGraphicFramePr>
        <xdr:cNvPr id="8" name="Chart 7">
          <a:extLst>
            <a:ext uri="{FF2B5EF4-FFF2-40B4-BE49-F238E27FC236}">
              <a16:creationId xmlns:a16="http://schemas.microsoft.com/office/drawing/2014/main" id="{EBABE284-6492-4BE9-BA29-3B65807AE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225777</xdr:colOff>
      <xdr:row>5</xdr:row>
      <xdr:rowOff>6585</xdr:rowOff>
    </xdr:from>
    <xdr:to>
      <xdr:col>23</xdr:col>
      <xdr:colOff>329259</xdr:colOff>
      <xdr:row>14</xdr:row>
      <xdr:rowOff>0</xdr:rowOff>
    </xdr:to>
    <xdr:graphicFrame macro="">
      <xdr:nvGraphicFramePr>
        <xdr:cNvPr id="9" name="Chart 8">
          <a:extLst>
            <a:ext uri="{FF2B5EF4-FFF2-40B4-BE49-F238E27FC236}">
              <a16:creationId xmlns:a16="http://schemas.microsoft.com/office/drawing/2014/main" id="{BB7BF28E-418E-4DEC-A5A0-07C105278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206962</xdr:colOff>
      <xdr:row>4</xdr:row>
      <xdr:rowOff>166511</xdr:rowOff>
    </xdr:from>
    <xdr:to>
      <xdr:col>34</xdr:col>
      <xdr:colOff>498592</xdr:colOff>
      <xdr:row>20</xdr:row>
      <xdr:rowOff>49859</xdr:rowOff>
    </xdr:to>
    <xdr:graphicFrame macro="">
      <xdr:nvGraphicFramePr>
        <xdr:cNvPr id="10" name="Chart 9">
          <a:extLst>
            <a:ext uri="{FF2B5EF4-FFF2-40B4-BE49-F238E27FC236}">
              <a16:creationId xmlns:a16="http://schemas.microsoft.com/office/drawing/2014/main" id="{CB78A509-09A3-4459-92E2-025C26D5A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620888</xdr:colOff>
      <xdr:row>55</xdr:row>
      <xdr:rowOff>6585</xdr:rowOff>
    </xdr:from>
    <xdr:to>
      <xdr:col>4</xdr:col>
      <xdr:colOff>103481</xdr:colOff>
      <xdr:row>70</xdr:row>
      <xdr:rowOff>68674</xdr:rowOff>
    </xdr:to>
    <xdr:graphicFrame macro="">
      <xdr:nvGraphicFramePr>
        <xdr:cNvPr id="3" name="Chart 2">
          <a:extLst>
            <a:ext uri="{FF2B5EF4-FFF2-40B4-BE49-F238E27FC236}">
              <a16:creationId xmlns:a16="http://schemas.microsoft.com/office/drawing/2014/main" id="{049EB4BB-8BC2-4395-91E0-27AE62B3A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423333</xdr:colOff>
      <xdr:row>70</xdr:row>
      <xdr:rowOff>28222</xdr:rowOff>
    </xdr:from>
    <xdr:to>
      <xdr:col>3</xdr:col>
      <xdr:colOff>959556</xdr:colOff>
      <xdr:row>79</xdr:row>
      <xdr:rowOff>75259</xdr:rowOff>
    </xdr:to>
    <xdr:graphicFrame macro="">
      <xdr:nvGraphicFramePr>
        <xdr:cNvPr id="4" name="Chart 3">
          <a:extLst>
            <a:ext uri="{FF2B5EF4-FFF2-40B4-BE49-F238E27FC236}">
              <a16:creationId xmlns:a16="http://schemas.microsoft.com/office/drawing/2014/main" id="{5AABF668-0BE7-4288-A41E-0A9ADD4D9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1787407</xdr:colOff>
      <xdr:row>72</xdr:row>
      <xdr:rowOff>44215</xdr:rowOff>
    </xdr:from>
    <xdr:to>
      <xdr:col>3</xdr:col>
      <xdr:colOff>2314223</xdr:colOff>
      <xdr:row>84</xdr:row>
      <xdr:rowOff>0</xdr:rowOff>
    </xdr:to>
    <xdr:graphicFrame macro="">
      <xdr:nvGraphicFramePr>
        <xdr:cNvPr id="5" name="Chart 4">
          <a:extLst>
            <a:ext uri="{FF2B5EF4-FFF2-40B4-BE49-F238E27FC236}">
              <a16:creationId xmlns:a16="http://schemas.microsoft.com/office/drawing/2014/main" id="{8D7353CF-34C9-462D-B9D7-18667B8BB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865488</xdr:colOff>
      <xdr:row>85</xdr:row>
      <xdr:rowOff>44215</xdr:rowOff>
    </xdr:from>
    <xdr:to>
      <xdr:col>4</xdr:col>
      <xdr:colOff>348080</xdr:colOff>
      <xdr:row>100</xdr:row>
      <xdr:rowOff>106304</xdr:rowOff>
    </xdr:to>
    <xdr:graphicFrame macro="">
      <xdr:nvGraphicFramePr>
        <xdr:cNvPr id="6" name="Chart 5">
          <a:extLst>
            <a:ext uri="{FF2B5EF4-FFF2-40B4-BE49-F238E27FC236}">
              <a16:creationId xmlns:a16="http://schemas.microsoft.com/office/drawing/2014/main" id="{BA44AD99-03F8-4ED8-8AD2-1E72CF3A0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733684</xdr:colOff>
      <xdr:row>103</xdr:row>
      <xdr:rowOff>141868</xdr:rowOff>
    </xdr:from>
    <xdr:to>
      <xdr:col>3</xdr:col>
      <xdr:colOff>756523</xdr:colOff>
      <xdr:row>106</xdr:row>
      <xdr:rowOff>28224</xdr:rowOff>
    </xdr:to>
    <mc:AlternateContent xmlns:mc="http://schemas.openxmlformats.org/markup-compatibility/2006">
      <mc:Choice xmlns:a14="http://schemas.microsoft.com/office/drawing/2010/main" Requires="a14">
        <xdr:graphicFrame macro="">
          <xdr:nvGraphicFramePr>
            <xdr:cNvPr id="7" name="Date (Year)">
              <a:extLst>
                <a:ext uri="{FF2B5EF4-FFF2-40B4-BE49-F238E27FC236}">
                  <a16:creationId xmlns:a16="http://schemas.microsoft.com/office/drawing/2014/main" id="{1C99BB17-46B9-4F51-982B-FA8116E7955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937217" y="19255961"/>
              <a:ext cx="1831699" cy="441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2065232</xdr:colOff>
      <xdr:row>46</xdr:row>
      <xdr:rowOff>113943</xdr:rowOff>
    </xdr:from>
    <xdr:to>
      <xdr:col>4</xdr:col>
      <xdr:colOff>14242</xdr:colOff>
      <xdr:row>49</xdr:row>
      <xdr:rowOff>14243</xdr:rowOff>
    </xdr:to>
    <xdr:graphicFrame macro="">
      <xdr:nvGraphicFramePr>
        <xdr:cNvPr id="13" name="Chart 12">
          <a:extLst>
            <a:ext uri="{FF2B5EF4-FFF2-40B4-BE49-F238E27FC236}">
              <a16:creationId xmlns:a16="http://schemas.microsoft.com/office/drawing/2014/main" id="{7F6EB443-E79B-492F-A789-0E391778E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279396</xdr:colOff>
      <xdr:row>0</xdr:row>
      <xdr:rowOff>58222</xdr:rowOff>
    </xdr:from>
    <xdr:to>
      <xdr:col>22</xdr:col>
      <xdr:colOff>195943</xdr:colOff>
      <xdr:row>32</xdr:row>
      <xdr:rowOff>127000</xdr:rowOff>
    </xdr:to>
    <xdr:sp macro="" textlink="">
      <xdr:nvSpPr>
        <xdr:cNvPr id="3" name="Rectangle 2">
          <a:extLst>
            <a:ext uri="{FF2B5EF4-FFF2-40B4-BE49-F238E27FC236}">
              <a16:creationId xmlns:a16="http://schemas.microsoft.com/office/drawing/2014/main" id="{8E7A6786-9450-48E2-8FAF-E4CF86D60ECC}"/>
            </a:ext>
          </a:extLst>
        </xdr:cNvPr>
        <xdr:cNvSpPr/>
      </xdr:nvSpPr>
      <xdr:spPr>
        <a:xfrm>
          <a:off x="279396" y="58222"/>
          <a:ext cx="13327747" cy="5990607"/>
        </a:xfrm>
        <a:prstGeom prst="rect">
          <a:avLst/>
        </a:prstGeom>
        <a:solidFill>
          <a:schemeClr val="accent1">
            <a:lumMod val="50000"/>
            <a:alpha val="54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366483</xdr:colOff>
      <xdr:row>0</xdr:row>
      <xdr:rowOff>145140</xdr:rowOff>
    </xdr:from>
    <xdr:to>
      <xdr:col>10</xdr:col>
      <xdr:colOff>273352</xdr:colOff>
      <xdr:row>5</xdr:row>
      <xdr:rowOff>26614</xdr:rowOff>
    </xdr:to>
    <xdr:sp macro="" textlink="">
      <xdr:nvSpPr>
        <xdr:cNvPr id="4" name="Rectangle: Rounded Corners 3">
          <a:extLst>
            <a:ext uri="{FF2B5EF4-FFF2-40B4-BE49-F238E27FC236}">
              <a16:creationId xmlns:a16="http://schemas.microsoft.com/office/drawing/2014/main" id="{8D0EC493-7054-44DC-8F0C-4B6D94A5D591}"/>
            </a:ext>
          </a:extLst>
        </xdr:cNvPr>
        <xdr:cNvSpPr/>
      </xdr:nvSpPr>
      <xdr:spPr>
        <a:xfrm>
          <a:off x="366483" y="145140"/>
          <a:ext cx="6002869" cy="806760"/>
        </a:xfrm>
        <a:prstGeom prst="roundRect">
          <a:avLst/>
        </a:prstGeom>
        <a:solidFill>
          <a:schemeClr val="accent1">
            <a:lumMod val="40000"/>
            <a:lumOff val="6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400" b="1">
            <a:solidFill>
              <a:sysClr val="windowText" lastClr="000000"/>
            </a:solidFill>
            <a:effectLst/>
            <a:latin typeface="+mn-lt"/>
          </a:endParaRPr>
        </a:p>
      </xdr:txBody>
    </xdr:sp>
    <xdr:clientData/>
  </xdr:twoCellAnchor>
  <xdr:twoCellAnchor>
    <xdr:from>
      <xdr:col>10</xdr:col>
      <xdr:colOff>352781</xdr:colOff>
      <xdr:row>0</xdr:row>
      <xdr:rowOff>145140</xdr:rowOff>
    </xdr:from>
    <xdr:to>
      <xdr:col>13</xdr:col>
      <xdr:colOff>488247</xdr:colOff>
      <xdr:row>5</xdr:row>
      <xdr:rowOff>27407</xdr:rowOff>
    </xdr:to>
    <xdr:sp macro="" textlink="">
      <xdr:nvSpPr>
        <xdr:cNvPr id="5" name="Rectangle: Rounded Corners 4">
          <a:extLst>
            <a:ext uri="{FF2B5EF4-FFF2-40B4-BE49-F238E27FC236}">
              <a16:creationId xmlns:a16="http://schemas.microsoft.com/office/drawing/2014/main" id="{C2480637-1F32-43D4-8CC4-16557A0856F3}"/>
            </a:ext>
          </a:extLst>
        </xdr:cNvPr>
        <xdr:cNvSpPr/>
      </xdr:nvSpPr>
      <xdr:spPr>
        <a:xfrm>
          <a:off x="6448781" y="145140"/>
          <a:ext cx="1964266" cy="807553"/>
        </a:xfrm>
        <a:prstGeom prst="roundRect">
          <a:avLst/>
        </a:prstGeom>
        <a:solidFill>
          <a:schemeClr val="accent1">
            <a:lumMod val="40000"/>
            <a:lumOff val="6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578562</xdr:colOff>
      <xdr:row>0</xdr:row>
      <xdr:rowOff>145140</xdr:rowOff>
    </xdr:from>
    <xdr:to>
      <xdr:col>17</xdr:col>
      <xdr:colOff>561630</xdr:colOff>
      <xdr:row>13</xdr:row>
      <xdr:rowOff>169336</xdr:rowOff>
    </xdr:to>
    <xdr:sp macro="" textlink="">
      <xdr:nvSpPr>
        <xdr:cNvPr id="6" name="Rectangle: Rounded Corners 5">
          <a:extLst>
            <a:ext uri="{FF2B5EF4-FFF2-40B4-BE49-F238E27FC236}">
              <a16:creationId xmlns:a16="http://schemas.microsoft.com/office/drawing/2014/main" id="{8826F80F-2512-4BAF-A7D4-85B099C5985C}"/>
            </a:ext>
          </a:extLst>
        </xdr:cNvPr>
        <xdr:cNvSpPr/>
      </xdr:nvSpPr>
      <xdr:spPr>
        <a:xfrm>
          <a:off x="8503362" y="145140"/>
          <a:ext cx="2421468" cy="2429939"/>
        </a:xfrm>
        <a:prstGeom prst="roundRect">
          <a:avLst>
            <a:gd name="adj" fmla="val 0"/>
          </a:avLst>
        </a:prstGeom>
        <a:solidFill>
          <a:schemeClr val="accent1">
            <a:lumMod val="40000"/>
            <a:lumOff val="6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42346</xdr:colOff>
      <xdr:row>0</xdr:row>
      <xdr:rowOff>145140</xdr:rowOff>
    </xdr:from>
    <xdr:to>
      <xdr:col>22</xdr:col>
      <xdr:colOff>25414</xdr:colOff>
      <xdr:row>13</xdr:row>
      <xdr:rowOff>169336</xdr:rowOff>
    </xdr:to>
    <xdr:sp macro="" textlink="">
      <xdr:nvSpPr>
        <xdr:cNvPr id="7" name="Rectangle: Rounded Corners 6">
          <a:extLst>
            <a:ext uri="{FF2B5EF4-FFF2-40B4-BE49-F238E27FC236}">
              <a16:creationId xmlns:a16="http://schemas.microsoft.com/office/drawing/2014/main" id="{B6BA280E-6C6C-42C0-AB33-148A41A420A8}"/>
            </a:ext>
          </a:extLst>
        </xdr:cNvPr>
        <xdr:cNvSpPr/>
      </xdr:nvSpPr>
      <xdr:spPr>
        <a:xfrm>
          <a:off x="11015146" y="145140"/>
          <a:ext cx="2421468" cy="2429939"/>
        </a:xfrm>
        <a:prstGeom prst="roundRect">
          <a:avLst>
            <a:gd name="adj" fmla="val 0"/>
          </a:avLst>
        </a:prstGeom>
        <a:solidFill>
          <a:schemeClr val="accent1">
            <a:lumMod val="40000"/>
            <a:lumOff val="6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394304</xdr:colOff>
      <xdr:row>5</xdr:row>
      <xdr:rowOff>60477</xdr:rowOff>
    </xdr:from>
    <xdr:to>
      <xdr:col>3</xdr:col>
      <xdr:colOff>360438</xdr:colOff>
      <xdr:row>27</xdr:row>
      <xdr:rowOff>10886</xdr:rowOff>
    </xdr:to>
    <xdr:sp macro="" textlink="">
      <xdr:nvSpPr>
        <xdr:cNvPr id="8" name="Rectangle: Rounded Corners 7">
          <a:extLst>
            <a:ext uri="{FF2B5EF4-FFF2-40B4-BE49-F238E27FC236}">
              <a16:creationId xmlns:a16="http://schemas.microsoft.com/office/drawing/2014/main" id="{F379C8E9-C568-4C52-B738-099943C24ABB}"/>
            </a:ext>
          </a:extLst>
        </xdr:cNvPr>
        <xdr:cNvSpPr/>
      </xdr:nvSpPr>
      <xdr:spPr>
        <a:xfrm>
          <a:off x="394304" y="985763"/>
          <a:ext cx="1794934" cy="4021666"/>
        </a:xfrm>
        <a:prstGeom prst="roundRect">
          <a:avLst>
            <a:gd name="adj" fmla="val 0"/>
          </a:avLst>
        </a:prstGeom>
        <a:solidFill>
          <a:schemeClr val="accent1">
            <a:lumMod val="40000"/>
            <a:lumOff val="6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470748</xdr:colOff>
      <xdr:row>5</xdr:row>
      <xdr:rowOff>157233</xdr:rowOff>
    </xdr:from>
    <xdr:to>
      <xdr:col>13</xdr:col>
      <xdr:colOff>336982</xdr:colOff>
      <xdr:row>12</xdr:row>
      <xdr:rowOff>148769</xdr:rowOff>
    </xdr:to>
    <xdr:grpSp>
      <xdr:nvGrpSpPr>
        <xdr:cNvPr id="14" name="Group 13">
          <a:extLst>
            <a:ext uri="{FF2B5EF4-FFF2-40B4-BE49-F238E27FC236}">
              <a16:creationId xmlns:a16="http://schemas.microsoft.com/office/drawing/2014/main" id="{4A52AC14-5772-4B01-9DD2-1A68E9BF1A2A}"/>
            </a:ext>
          </a:extLst>
        </xdr:cNvPr>
        <xdr:cNvGrpSpPr/>
      </xdr:nvGrpSpPr>
      <xdr:grpSpPr>
        <a:xfrm>
          <a:off x="2299548" y="1082519"/>
          <a:ext cx="5962234" cy="1286936"/>
          <a:chOff x="2274147" y="1176861"/>
          <a:chExt cx="5962234" cy="1058339"/>
        </a:xfrm>
        <a:solidFill>
          <a:schemeClr val="accent1">
            <a:lumMod val="40000"/>
            <a:lumOff val="60000"/>
          </a:schemeClr>
        </a:solidFill>
      </xdr:grpSpPr>
      <xdr:sp macro="" textlink="">
        <xdr:nvSpPr>
          <xdr:cNvPr id="9" name="Rectangle: Rounded Corners 8">
            <a:extLst>
              <a:ext uri="{FF2B5EF4-FFF2-40B4-BE49-F238E27FC236}">
                <a16:creationId xmlns:a16="http://schemas.microsoft.com/office/drawing/2014/main" id="{7EB873B5-CAEC-4FDC-B9E1-AFC405F11C12}"/>
              </a:ext>
            </a:extLst>
          </xdr:cNvPr>
          <xdr:cNvSpPr/>
        </xdr:nvSpPr>
        <xdr:spPr>
          <a:xfrm>
            <a:off x="2274147" y="1176861"/>
            <a:ext cx="1905002" cy="1058339"/>
          </a:xfrm>
          <a:prstGeom prst="roundRect">
            <a:avLst>
              <a:gd name="adj" fmla="val 0"/>
            </a:avLst>
          </a:prstGeom>
          <a:grp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EB1F0623-6C8F-4C9B-9CE2-452C1904FD00}"/>
              </a:ext>
            </a:extLst>
          </xdr:cNvPr>
          <xdr:cNvSpPr/>
        </xdr:nvSpPr>
        <xdr:spPr>
          <a:xfrm>
            <a:off x="4302763" y="1176861"/>
            <a:ext cx="1905002" cy="1058339"/>
          </a:xfrm>
          <a:prstGeom prst="roundRect">
            <a:avLst>
              <a:gd name="adj" fmla="val 0"/>
            </a:avLst>
          </a:prstGeom>
          <a:grp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9A57B949-176E-4465-BD21-E4D53855E3AA}"/>
              </a:ext>
            </a:extLst>
          </xdr:cNvPr>
          <xdr:cNvSpPr/>
        </xdr:nvSpPr>
        <xdr:spPr>
          <a:xfrm>
            <a:off x="6331379" y="1176861"/>
            <a:ext cx="1905002" cy="1058339"/>
          </a:xfrm>
          <a:prstGeom prst="roundRect">
            <a:avLst>
              <a:gd name="adj" fmla="val 0"/>
            </a:avLst>
          </a:prstGeom>
          <a:grp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465667</xdr:colOff>
      <xdr:row>13</xdr:row>
      <xdr:rowOff>64098</xdr:rowOff>
    </xdr:from>
    <xdr:to>
      <xdr:col>13</xdr:col>
      <xdr:colOff>424542</xdr:colOff>
      <xdr:row>25</xdr:row>
      <xdr:rowOff>97970</xdr:rowOff>
    </xdr:to>
    <xdr:sp macro="" textlink="">
      <xdr:nvSpPr>
        <xdr:cNvPr id="18" name="Rectangle: Rounded Corners 17">
          <a:extLst>
            <a:ext uri="{FF2B5EF4-FFF2-40B4-BE49-F238E27FC236}">
              <a16:creationId xmlns:a16="http://schemas.microsoft.com/office/drawing/2014/main" id="{3CAAABE9-E99B-4667-8402-9D733B5262A1}"/>
            </a:ext>
          </a:extLst>
        </xdr:cNvPr>
        <xdr:cNvSpPr/>
      </xdr:nvSpPr>
      <xdr:spPr>
        <a:xfrm>
          <a:off x="2294467" y="2469841"/>
          <a:ext cx="6054875" cy="2254558"/>
        </a:xfrm>
        <a:prstGeom prst="roundRect">
          <a:avLst>
            <a:gd name="adj" fmla="val 0"/>
          </a:avLst>
        </a:prstGeom>
        <a:solidFill>
          <a:schemeClr val="accent1">
            <a:lumMod val="40000"/>
            <a:lumOff val="6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536805</xdr:colOff>
      <xdr:row>14</xdr:row>
      <xdr:rowOff>104019</xdr:rowOff>
    </xdr:from>
    <xdr:to>
      <xdr:col>22</xdr:col>
      <xdr:colOff>84677</xdr:colOff>
      <xdr:row>32</xdr:row>
      <xdr:rowOff>76200</xdr:rowOff>
    </xdr:to>
    <xdr:sp macro="" textlink="">
      <xdr:nvSpPr>
        <xdr:cNvPr id="19" name="Rectangle: Rounded Corners 18">
          <a:extLst>
            <a:ext uri="{FF2B5EF4-FFF2-40B4-BE49-F238E27FC236}">
              <a16:creationId xmlns:a16="http://schemas.microsoft.com/office/drawing/2014/main" id="{ACAC5C20-5B08-49EA-AB91-BB79B25BC0C1}"/>
            </a:ext>
          </a:extLst>
        </xdr:cNvPr>
        <xdr:cNvSpPr/>
      </xdr:nvSpPr>
      <xdr:spPr>
        <a:xfrm>
          <a:off x="8461605" y="2694819"/>
          <a:ext cx="5034272" cy="3303210"/>
        </a:xfrm>
        <a:prstGeom prst="roundRect">
          <a:avLst>
            <a:gd name="adj" fmla="val 0"/>
          </a:avLst>
        </a:prstGeom>
        <a:solidFill>
          <a:schemeClr val="accent1">
            <a:lumMod val="40000"/>
            <a:lumOff val="6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414867</xdr:colOff>
      <xdr:row>0</xdr:row>
      <xdr:rowOff>73776</xdr:rowOff>
    </xdr:from>
    <xdr:to>
      <xdr:col>2</xdr:col>
      <xdr:colOff>155817</xdr:colOff>
      <xdr:row>5</xdr:row>
      <xdr:rowOff>101383</xdr:rowOff>
    </xdr:to>
    <xdr:pic>
      <xdr:nvPicPr>
        <xdr:cNvPr id="23" name="Picture 22">
          <a:extLst>
            <a:ext uri="{FF2B5EF4-FFF2-40B4-BE49-F238E27FC236}">
              <a16:creationId xmlns:a16="http://schemas.microsoft.com/office/drawing/2014/main" id="{37C5B738-E2D2-48F1-9FC7-633B6EBF9E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4867" y="73776"/>
          <a:ext cx="960150" cy="952893"/>
        </a:xfrm>
        <a:prstGeom prst="rect">
          <a:avLst/>
        </a:prstGeom>
      </xdr:spPr>
    </xdr:pic>
    <xdr:clientData/>
  </xdr:twoCellAnchor>
  <xdr:twoCellAnchor>
    <xdr:from>
      <xdr:col>2</xdr:col>
      <xdr:colOff>101600</xdr:colOff>
      <xdr:row>1</xdr:row>
      <xdr:rowOff>16933</xdr:rowOff>
    </xdr:from>
    <xdr:to>
      <xdr:col>10</xdr:col>
      <xdr:colOff>228600</xdr:colOff>
      <xdr:row>3</xdr:row>
      <xdr:rowOff>76200</xdr:rowOff>
    </xdr:to>
    <xdr:sp macro="" textlink="">
      <xdr:nvSpPr>
        <xdr:cNvPr id="24" name="TextBox 23">
          <a:extLst>
            <a:ext uri="{FF2B5EF4-FFF2-40B4-BE49-F238E27FC236}">
              <a16:creationId xmlns:a16="http://schemas.microsoft.com/office/drawing/2014/main" id="{82AAE0A5-5260-4A88-8A86-575BED1FC4C4}"/>
            </a:ext>
          </a:extLst>
        </xdr:cNvPr>
        <xdr:cNvSpPr txBox="1"/>
      </xdr:nvSpPr>
      <xdr:spPr>
        <a:xfrm>
          <a:off x="1320800" y="203200"/>
          <a:ext cx="50038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IN" sz="2400" b="1" i="0" u="none" strike="noStrike" kern="0" cap="none" spc="0" normalizeH="0" baseline="0" noProof="0">
              <a:ln>
                <a:noFill/>
              </a:ln>
              <a:solidFill>
                <a:sysClr val="windowText" lastClr="000000"/>
              </a:solidFill>
              <a:effectLst/>
              <a:uLnTx/>
              <a:uFillTx/>
              <a:latin typeface="+mn-lt"/>
              <a:ea typeface="+mn-ea"/>
              <a:cs typeface="+mn-cs"/>
            </a:rPr>
            <a:t>Hospital Emergency Room Dashboard</a:t>
          </a:r>
          <a:endParaRPr lang="en-IN" sz="1100"/>
        </a:p>
      </xdr:txBody>
    </xdr:sp>
    <xdr:clientData/>
  </xdr:twoCellAnchor>
  <xdr:twoCellAnchor>
    <xdr:from>
      <xdr:col>3</xdr:col>
      <xdr:colOff>592667</xdr:colOff>
      <xdr:row>3</xdr:row>
      <xdr:rowOff>25400</xdr:rowOff>
    </xdr:from>
    <xdr:to>
      <xdr:col>7</xdr:col>
      <xdr:colOff>592667</xdr:colOff>
      <xdr:row>5</xdr:row>
      <xdr:rowOff>42334</xdr:rowOff>
    </xdr:to>
    <xdr:sp macro="" textlink="">
      <xdr:nvSpPr>
        <xdr:cNvPr id="25" name="TextBox 24">
          <a:extLst>
            <a:ext uri="{FF2B5EF4-FFF2-40B4-BE49-F238E27FC236}">
              <a16:creationId xmlns:a16="http://schemas.microsoft.com/office/drawing/2014/main" id="{9CB6EE36-2BA1-443B-ACFE-7CDA57040D59}"/>
            </a:ext>
          </a:extLst>
        </xdr:cNvPr>
        <xdr:cNvSpPr txBox="1"/>
      </xdr:nvSpPr>
      <xdr:spPr>
        <a:xfrm>
          <a:off x="2421467" y="584200"/>
          <a:ext cx="2438400"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Monthly Report</a:t>
          </a:r>
        </a:p>
      </xdr:txBody>
    </xdr:sp>
    <xdr:clientData/>
  </xdr:twoCellAnchor>
  <xdr:twoCellAnchor>
    <xdr:from>
      <xdr:col>3</xdr:col>
      <xdr:colOff>253999</xdr:colOff>
      <xdr:row>6</xdr:row>
      <xdr:rowOff>67731</xdr:rowOff>
    </xdr:from>
    <xdr:to>
      <xdr:col>7</xdr:col>
      <xdr:colOff>253999</xdr:colOff>
      <xdr:row>8</xdr:row>
      <xdr:rowOff>84665</xdr:rowOff>
    </xdr:to>
    <xdr:sp macro="" textlink="Pivot!A5">
      <xdr:nvSpPr>
        <xdr:cNvPr id="26" name="TextBox 25">
          <a:extLst>
            <a:ext uri="{FF2B5EF4-FFF2-40B4-BE49-F238E27FC236}">
              <a16:creationId xmlns:a16="http://schemas.microsoft.com/office/drawing/2014/main" id="{8D4156FE-022D-44E3-B4F1-546535FC8CA9}"/>
            </a:ext>
          </a:extLst>
        </xdr:cNvPr>
        <xdr:cNvSpPr txBox="1"/>
      </xdr:nvSpPr>
      <xdr:spPr>
        <a:xfrm>
          <a:off x="2082799" y="1185331"/>
          <a:ext cx="2438400"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617FF0-C654-401D-BC6F-AFBAA99E6F77}" type="TxLink">
            <a:rPr lang="en-US" sz="2400" b="1" i="0" u="none" strike="noStrike">
              <a:solidFill>
                <a:srgbClr val="000000"/>
              </a:solidFill>
              <a:latin typeface="Calibri"/>
              <a:ea typeface="Calibri"/>
              <a:cs typeface="Calibri"/>
            </a:rPr>
            <a:pPr algn="ctr"/>
            <a:t>485</a:t>
          </a:fld>
          <a:endParaRPr lang="en-IN" sz="4000" b="1"/>
        </a:p>
      </xdr:txBody>
    </xdr:sp>
    <xdr:clientData/>
  </xdr:twoCellAnchor>
  <xdr:twoCellAnchor>
    <xdr:from>
      <xdr:col>3</xdr:col>
      <xdr:colOff>279399</xdr:colOff>
      <xdr:row>8</xdr:row>
      <xdr:rowOff>25401</xdr:rowOff>
    </xdr:from>
    <xdr:to>
      <xdr:col>7</xdr:col>
      <xdr:colOff>279399</xdr:colOff>
      <xdr:row>10</xdr:row>
      <xdr:rowOff>42334</xdr:rowOff>
    </xdr:to>
    <xdr:sp macro="" textlink="">
      <xdr:nvSpPr>
        <xdr:cNvPr id="27" name="TextBox 26">
          <a:extLst>
            <a:ext uri="{FF2B5EF4-FFF2-40B4-BE49-F238E27FC236}">
              <a16:creationId xmlns:a16="http://schemas.microsoft.com/office/drawing/2014/main" id="{5A03A491-B670-48C9-B5FD-3B3E431A040A}"/>
            </a:ext>
          </a:extLst>
        </xdr:cNvPr>
        <xdr:cNvSpPr txBox="1"/>
      </xdr:nvSpPr>
      <xdr:spPr>
        <a:xfrm>
          <a:off x="2108199" y="1515534"/>
          <a:ext cx="2438400"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No.</a:t>
          </a:r>
          <a:r>
            <a:rPr lang="en-IN" sz="1800" b="1" baseline="0"/>
            <a:t> Of Patients</a:t>
          </a:r>
          <a:endParaRPr lang="en-IN" sz="1800" b="1"/>
        </a:p>
      </xdr:txBody>
    </xdr:sp>
    <xdr:clientData/>
  </xdr:twoCellAnchor>
  <xdr:twoCellAnchor>
    <xdr:from>
      <xdr:col>6</xdr:col>
      <xdr:colOff>482599</xdr:colOff>
      <xdr:row>6</xdr:row>
      <xdr:rowOff>8466</xdr:rowOff>
    </xdr:from>
    <xdr:to>
      <xdr:col>10</xdr:col>
      <xdr:colOff>482599</xdr:colOff>
      <xdr:row>7</xdr:row>
      <xdr:rowOff>186264</xdr:rowOff>
    </xdr:to>
    <xdr:sp macro="" textlink="Pivot!A9">
      <xdr:nvSpPr>
        <xdr:cNvPr id="20" name="TextBox 19">
          <a:extLst>
            <a:ext uri="{FF2B5EF4-FFF2-40B4-BE49-F238E27FC236}">
              <a16:creationId xmlns:a16="http://schemas.microsoft.com/office/drawing/2014/main" id="{C525B65C-4FC3-4BCE-B08F-85AF0F75CE88}"/>
            </a:ext>
          </a:extLst>
        </xdr:cNvPr>
        <xdr:cNvSpPr txBox="1"/>
      </xdr:nvSpPr>
      <xdr:spPr>
        <a:xfrm>
          <a:off x="4140199" y="1126066"/>
          <a:ext cx="2438400" cy="364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0EA5634-857C-4F40-BFB7-1D8E55C2EC83}" type="TxLink">
            <a:rPr lang="en-US" sz="2400" b="1" i="0" u="none" strike="noStrike">
              <a:solidFill>
                <a:srgbClr val="000000"/>
              </a:solidFill>
              <a:latin typeface="Calibri"/>
              <a:ea typeface="Calibri"/>
              <a:cs typeface="Calibri"/>
            </a:rPr>
            <a:pPr marL="0" indent="0" algn="ctr"/>
            <a:t>35.51</a:t>
          </a:fld>
          <a:endParaRPr lang="en-US" sz="2400" b="1" i="0" u="none" strike="noStrike">
            <a:solidFill>
              <a:srgbClr val="000000"/>
            </a:solidFill>
            <a:latin typeface="Calibri"/>
            <a:ea typeface="Calibri"/>
            <a:cs typeface="Calibri"/>
          </a:endParaRPr>
        </a:p>
      </xdr:txBody>
    </xdr:sp>
    <xdr:clientData/>
  </xdr:twoCellAnchor>
  <xdr:twoCellAnchor>
    <xdr:from>
      <xdr:col>6</xdr:col>
      <xdr:colOff>499532</xdr:colOff>
      <xdr:row>7</xdr:row>
      <xdr:rowOff>160867</xdr:rowOff>
    </xdr:from>
    <xdr:to>
      <xdr:col>10</xdr:col>
      <xdr:colOff>499532</xdr:colOff>
      <xdr:row>9</xdr:row>
      <xdr:rowOff>177801</xdr:rowOff>
    </xdr:to>
    <xdr:sp macro="" textlink="">
      <xdr:nvSpPr>
        <xdr:cNvPr id="21" name="TextBox 20">
          <a:extLst>
            <a:ext uri="{FF2B5EF4-FFF2-40B4-BE49-F238E27FC236}">
              <a16:creationId xmlns:a16="http://schemas.microsoft.com/office/drawing/2014/main" id="{CAEDF737-73CB-4585-BFE6-BBF0855AB805}"/>
            </a:ext>
          </a:extLst>
        </xdr:cNvPr>
        <xdr:cNvSpPr txBox="1"/>
      </xdr:nvSpPr>
      <xdr:spPr>
        <a:xfrm>
          <a:off x="4157132" y="1464734"/>
          <a:ext cx="2438400"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Avg.</a:t>
          </a:r>
          <a:r>
            <a:rPr lang="en-IN" sz="1800" b="1" baseline="0"/>
            <a:t> Wait Time</a:t>
          </a:r>
          <a:endParaRPr lang="en-IN" sz="1800" b="1"/>
        </a:p>
      </xdr:txBody>
    </xdr:sp>
    <xdr:clientData/>
  </xdr:twoCellAnchor>
  <xdr:twoCellAnchor>
    <xdr:from>
      <xdr:col>9</xdr:col>
      <xdr:colOff>592665</xdr:colOff>
      <xdr:row>6</xdr:row>
      <xdr:rowOff>8465</xdr:rowOff>
    </xdr:from>
    <xdr:to>
      <xdr:col>13</xdr:col>
      <xdr:colOff>592665</xdr:colOff>
      <xdr:row>8</xdr:row>
      <xdr:rowOff>25399</xdr:rowOff>
    </xdr:to>
    <xdr:sp macro="" textlink="Pivot!A12">
      <xdr:nvSpPr>
        <xdr:cNvPr id="22" name="TextBox 21">
          <a:extLst>
            <a:ext uri="{FF2B5EF4-FFF2-40B4-BE49-F238E27FC236}">
              <a16:creationId xmlns:a16="http://schemas.microsoft.com/office/drawing/2014/main" id="{D7B29268-924A-4FF7-BB5B-EFA78F2E4FCF}"/>
            </a:ext>
          </a:extLst>
        </xdr:cNvPr>
        <xdr:cNvSpPr txBox="1"/>
      </xdr:nvSpPr>
      <xdr:spPr>
        <a:xfrm>
          <a:off x="6079065" y="1126065"/>
          <a:ext cx="2438400"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50ACCDD-EBC6-40C3-9FC6-5B3D70C04FEB}" type="TxLink">
            <a:rPr lang="en-US" sz="2400" b="1" i="0" u="none" strike="noStrike">
              <a:solidFill>
                <a:srgbClr val="000000"/>
              </a:solidFill>
              <a:latin typeface="Calibri"/>
              <a:ea typeface="Calibri"/>
              <a:cs typeface="Calibri"/>
            </a:rPr>
            <a:pPr marL="0" indent="0" algn="ctr"/>
            <a:t>4.71</a:t>
          </a:fld>
          <a:endParaRPr lang="en-IN" sz="2400" b="1" i="0" u="none" strike="noStrike">
            <a:solidFill>
              <a:srgbClr val="000000"/>
            </a:solidFill>
            <a:latin typeface="Calibri"/>
            <a:ea typeface="Calibri"/>
            <a:cs typeface="Calibri"/>
          </a:endParaRPr>
        </a:p>
      </xdr:txBody>
    </xdr:sp>
    <xdr:clientData/>
  </xdr:twoCellAnchor>
  <xdr:twoCellAnchor>
    <xdr:from>
      <xdr:col>9</xdr:col>
      <xdr:colOff>601131</xdr:colOff>
      <xdr:row>7</xdr:row>
      <xdr:rowOff>101600</xdr:rowOff>
    </xdr:from>
    <xdr:to>
      <xdr:col>13</xdr:col>
      <xdr:colOff>601131</xdr:colOff>
      <xdr:row>11</xdr:row>
      <xdr:rowOff>16934</xdr:rowOff>
    </xdr:to>
    <xdr:sp macro="" textlink="">
      <xdr:nvSpPr>
        <xdr:cNvPr id="28" name="TextBox 27">
          <a:extLst>
            <a:ext uri="{FF2B5EF4-FFF2-40B4-BE49-F238E27FC236}">
              <a16:creationId xmlns:a16="http://schemas.microsoft.com/office/drawing/2014/main" id="{1853F4E1-86F6-4CD4-B263-00B48989C70A}"/>
            </a:ext>
          </a:extLst>
        </xdr:cNvPr>
        <xdr:cNvSpPr txBox="1"/>
      </xdr:nvSpPr>
      <xdr:spPr>
        <a:xfrm>
          <a:off x="6087531" y="1397000"/>
          <a:ext cx="2438400" cy="655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Patient</a:t>
          </a:r>
          <a:r>
            <a:rPr lang="en-IN" sz="1800" b="1" baseline="0"/>
            <a:t> Satisfaction Score</a:t>
          </a:r>
          <a:endParaRPr lang="en-IN" sz="1800" b="1"/>
        </a:p>
      </xdr:txBody>
    </xdr:sp>
    <xdr:clientData/>
  </xdr:twoCellAnchor>
  <xdr:twoCellAnchor editAs="oneCell">
    <xdr:from>
      <xdr:col>5</xdr:col>
      <xdr:colOff>601134</xdr:colOff>
      <xdr:row>6</xdr:row>
      <xdr:rowOff>25403</xdr:rowOff>
    </xdr:from>
    <xdr:to>
      <xdr:col>6</xdr:col>
      <xdr:colOff>558800</xdr:colOff>
      <xdr:row>8</xdr:row>
      <xdr:rowOff>152403</xdr:rowOff>
    </xdr:to>
    <xdr:pic>
      <xdr:nvPicPr>
        <xdr:cNvPr id="10" name="Graphic 9" descr="User with solid fill">
          <a:extLst>
            <a:ext uri="{FF2B5EF4-FFF2-40B4-BE49-F238E27FC236}">
              <a16:creationId xmlns:a16="http://schemas.microsoft.com/office/drawing/2014/main" id="{55DA2122-D412-4F84-8F1A-6F258B1823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649134" y="1143003"/>
          <a:ext cx="567266" cy="499533"/>
        </a:xfrm>
        <a:prstGeom prst="rect">
          <a:avLst/>
        </a:prstGeom>
      </xdr:spPr>
    </xdr:pic>
    <xdr:clientData/>
  </xdr:twoCellAnchor>
  <xdr:twoCellAnchor editAs="oneCell">
    <xdr:from>
      <xdr:col>9</xdr:col>
      <xdr:colOff>270933</xdr:colOff>
      <xdr:row>6</xdr:row>
      <xdr:rowOff>50801</xdr:rowOff>
    </xdr:from>
    <xdr:to>
      <xdr:col>10</xdr:col>
      <xdr:colOff>101600</xdr:colOff>
      <xdr:row>8</xdr:row>
      <xdr:rowOff>110068</xdr:rowOff>
    </xdr:to>
    <xdr:pic>
      <xdr:nvPicPr>
        <xdr:cNvPr id="15" name="Graphic 14" descr="Hourglass Finished with solid fill">
          <a:extLst>
            <a:ext uri="{FF2B5EF4-FFF2-40B4-BE49-F238E27FC236}">
              <a16:creationId xmlns:a16="http://schemas.microsoft.com/office/drawing/2014/main" id="{3C843DEE-27B0-4DFA-AA0C-6D3461649CF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757333" y="1168401"/>
          <a:ext cx="440267" cy="431800"/>
        </a:xfrm>
        <a:prstGeom prst="rect">
          <a:avLst/>
        </a:prstGeom>
      </xdr:spPr>
    </xdr:pic>
    <xdr:clientData/>
  </xdr:twoCellAnchor>
  <xdr:twoCellAnchor editAs="oneCell">
    <xdr:from>
      <xdr:col>12</xdr:col>
      <xdr:colOff>575734</xdr:colOff>
      <xdr:row>6</xdr:row>
      <xdr:rowOff>25402</xdr:rowOff>
    </xdr:from>
    <xdr:to>
      <xdr:col>13</xdr:col>
      <xdr:colOff>330201</xdr:colOff>
      <xdr:row>8</xdr:row>
      <xdr:rowOff>33867</xdr:rowOff>
    </xdr:to>
    <xdr:pic>
      <xdr:nvPicPr>
        <xdr:cNvPr id="29" name="Graphic 28" descr="Star with solid fill">
          <a:extLst>
            <a:ext uri="{FF2B5EF4-FFF2-40B4-BE49-F238E27FC236}">
              <a16:creationId xmlns:a16="http://schemas.microsoft.com/office/drawing/2014/main" id="{B7428959-9162-4105-B401-995FC45CD62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890934" y="1143002"/>
          <a:ext cx="364067" cy="380998"/>
        </a:xfrm>
        <a:prstGeom prst="rect">
          <a:avLst/>
        </a:prstGeom>
      </xdr:spPr>
    </xdr:pic>
    <xdr:clientData/>
  </xdr:twoCellAnchor>
  <xdr:twoCellAnchor editAs="oneCell">
    <xdr:from>
      <xdr:col>0</xdr:col>
      <xdr:colOff>383418</xdr:colOff>
      <xdr:row>5</xdr:row>
      <xdr:rowOff>93135</xdr:rowOff>
    </xdr:from>
    <xdr:to>
      <xdr:col>3</xdr:col>
      <xdr:colOff>358018</xdr:colOff>
      <xdr:row>26</xdr:row>
      <xdr:rowOff>152401</xdr:rowOff>
    </xdr:to>
    <mc:AlternateContent xmlns:mc="http://schemas.openxmlformats.org/markup-compatibility/2006">
      <mc:Choice xmlns:a14="http://schemas.microsoft.com/office/drawing/2010/main" Requires="a14">
        <xdr:graphicFrame macro="">
          <xdr:nvGraphicFramePr>
            <xdr:cNvPr id="30" name="Date (Month) 1">
              <a:extLst>
                <a:ext uri="{FF2B5EF4-FFF2-40B4-BE49-F238E27FC236}">
                  <a16:creationId xmlns:a16="http://schemas.microsoft.com/office/drawing/2014/main" id="{6538F932-D6ED-435B-8BF9-E153ADDEB502}"/>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383418" y="1018421"/>
              <a:ext cx="1803400" cy="3945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313266</xdr:colOff>
      <xdr:row>7</xdr:row>
      <xdr:rowOff>114903</xdr:rowOff>
    </xdr:from>
    <xdr:to>
      <xdr:col>7</xdr:col>
      <xdr:colOff>110067</xdr:colOff>
      <xdr:row>13</xdr:row>
      <xdr:rowOff>90712</xdr:rowOff>
    </xdr:to>
    <xdr:graphicFrame macro="">
      <xdr:nvGraphicFramePr>
        <xdr:cNvPr id="33" name="Chart 32">
          <a:hlinkClick xmlns:r="http://schemas.openxmlformats.org/officeDocument/2006/relationships" r:id="rId8"/>
          <a:extLst>
            <a:ext uri="{FF2B5EF4-FFF2-40B4-BE49-F238E27FC236}">
              <a16:creationId xmlns:a16="http://schemas.microsoft.com/office/drawing/2014/main" id="{C9F9EA9F-D973-44C7-B0CE-0FB5DE510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592668</xdr:colOff>
      <xdr:row>7</xdr:row>
      <xdr:rowOff>148769</xdr:rowOff>
    </xdr:from>
    <xdr:to>
      <xdr:col>10</xdr:col>
      <xdr:colOff>211669</xdr:colOff>
      <xdr:row>12</xdr:row>
      <xdr:rowOff>140302</xdr:rowOff>
    </xdr:to>
    <xdr:graphicFrame macro="">
      <xdr:nvGraphicFramePr>
        <xdr:cNvPr id="34" name="Chart 33">
          <a:hlinkClick xmlns:r="http://schemas.openxmlformats.org/officeDocument/2006/relationships" r:id="rId10"/>
          <a:extLst>
            <a:ext uri="{FF2B5EF4-FFF2-40B4-BE49-F238E27FC236}">
              <a16:creationId xmlns:a16="http://schemas.microsoft.com/office/drawing/2014/main" id="{AD176424-7D26-432E-9D0D-6C2A0635B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262466</xdr:colOff>
      <xdr:row>9</xdr:row>
      <xdr:rowOff>87082</xdr:rowOff>
    </xdr:from>
    <xdr:to>
      <xdr:col>13</xdr:col>
      <xdr:colOff>338667</xdr:colOff>
      <xdr:row>12</xdr:row>
      <xdr:rowOff>146347</xdr:rowOff>
    </xdr:to>
    <xdr:graphicFrame macro="">
      <xdr:nvGraphicFramePr>
        <xdr:cNvPr id="36" name="Chart 35">
          <a:hlinkClick xmlns:r="http://schemas.openxmlformats.org/officeDocument/2006/relationships" r:id="rId12"/>
          <a:extLst>
            <a:ext uri="{FF2B5EF4-FFF2-40B4-BE49-F238E27FC236}">
              <a16:creationId xmlns:a16="http://schemas.microsoft.com/office/drawing/2014/main" id="{595A707F-9464-495C-A0DF-7FE769671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465667</xdr:colOff>
      <xdr:row>13</xdr:row>
      <xdr:rowOff>33866</xdr:rowOff>
    </xdr:from>
    <xdr:to>
      <xdr:col>13</xdr:col>
      <xdr:colOff>413656</xdr:colOff>
      <xdr:row>25</xdr:row>
      <xdr:rowOff>76198</xdr:rowOff>
    </xdr:to>
    <xdr:graphicFrame macro="">
      <xdr:nvGraphicFramePr>
        <xdr:cNvPr id="35" name="Chart 34">
          <a:extLst>
            <a:ext uri="{FF2B5EF4-FFF2-40B4-BE49-F238E27FC236}">
              <a16:creationId xmlns:a16="http://schemas.microsoft.com/office/drawing/2014/main" id="{EEA14E78-0D72-4F47-B68F-D19620BB5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387044</xdr:colOff>
      <xdr:row>26</xdr:row>
      <xdr:rowOff>44752</xdr:rowOff>
    </xdr:from>
    <xdr:to>
      <xdr:col>13</xdr:col>
      <xdr:colOff>468084</xdr:colOff>
      <xdr:row>32</xdr:row>
      <xdr:rowOff>70152</xdr:rowOff>
    </xdr:to>
    <xdr:sp macro="" textlink="">
      <xdr:nvSpPr>
        <xdr:cNvPr id="17" name="Rectangle: Rounded Corners 16">
          <a:extLst>
            <a:ext uri="{FF2B5EF4-FFF2-40B4-BE49-F238E27FC236}">
              <a16:creationId xmlns:a16="http://schemas.microsoft.com/office/drawing/2014/main" id="{BD0EBCBD-9D43-41F1-8CD2-742D9CB7530B}"/>
            </a:ext>
          </a:extLst>
        </xdr:cNvPr>
        <xdr:cNvSpPr/>
      </xdr:nvSpPr>
      <xdr:spPr>
        <a:xfrm>
          <a:off x="387044" y="4856238"/>
          <a:ext cx="8005840" cy="1135743"/>
        </a:xfrm>
        <a:prstGeom prst="roundRect">
          <a:avLst>
            <a:gd name="adj" fmla="val 0"/>
          </a:avLst>
        </a:prstGeom>
        <a:solidFill>
          <a:schemeClr val="accent1">
            <a:lumMod val="40000"/>
            <a:lumOff val="60000"/>
          </a:schemeClr>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601133</xdr:colOff>
      <xdr:row>0</xdr:row>
      <xdr:rowOff>177797</xdr:rowOff>
    </xdr:from>
    <xdr:to>
      <xdr:col>17</xdr:col>
      <xdr:colOff>524933</xdr:colOff>
      <xdr:row>13</xdr:row>
      <xdr:rowOff>186265</xdr:rowOff>
    </xdr:to>
    <xdr:graphicFrame macro="">
      <xdr:nvGraphicFramePr>
        <xdr:cNvPr id="49" name="Chart 48">
          <a:extLst>
            <a:ext uri="{FF2B5EF4-FFF2-40B4-BE49-F238E27FC236}">
              <a16:creationId xmlns:a16="http://schemas.microsoft.com/office/drawing/2014/main" id="{F1850E2E-377D-43F7-92FF-9A175AFDA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42346</xdr:colOff>
      <xdr:row>0</xdr:row>
      <xdr:rowOff>123367</xdr:rowOff>
    </xdr:from>
    <xdr:to>
      <xdr:col>22</xdr:col>
      <xdr:colOff>16933</xdr:colOff>
      <xdr:row>13</xdr:row>
      <xdr:rowOff>147560</xdr:rowOff>
    </xdr:to>
    <xdr:graphicFrame macro="">
      <xdr:nvGraphicFramePr>
        <xdr:cNvPr id="50" name="Chart 49">
          <a:extLst>
            <a:ext uri="{FF2B5EF4-FFF2-40B4-BE49-F238E27FC236}">
              <a16:creationId xmlns:a16="http://schemas.microsoft.com/office/drawing/2014/main" id="{EDE17E04-A7D8-4F59-95CC-36166A05A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536805</xdr:colOff>
      <xdr:row>14</xdr:row>
      <xdr:rowOff>169335</xdr:rowOff>
    </xdr:from>
    <xdr:to>
      <xdr:col>22</xdr:col>
      <xdr:colOff>118533</xdr:colOff>
      <xdr:row>32</xdr:row>
      <xdr:rowOff>59267</xdr:rowOff>
    </xdr:to>
    <xdr:graphicFrame macro="">
      <xdr:nvGraphicFramePr>
        <xdr:cNvPr id="51" name="Chart 50">
          <a:extLst>
            <a:ext uri="{FF2B5EF4-FFF2-40B4-BE49-F238E27FC236}">
              <a16:creationId xmlns:a16="http://schemas.microsoft.com/office/drawing/2014/main" id="{0B9F5F3E-D285-477E-A169-4E8DBDE79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10</xdr:col>
      <xdr:colOff>457198</xdr:colOff>
      <xdr:row>1</xdr:row>
      <xdr:rowOff>43544</xdr:rowOff>
    </xdr:from>
    <xdr:to>
      <xdr:col>13</xdr:col>
      <xdr:colOff>418093</xdr:colOff>
      <xdr:row>5</xdr:row>
      <xdr:rowOff>1</xdr:rowOff>
    </xdr:to>
    <mc:AlternateContent xmlns:mc="http://schemas.openxmlformats.org/markup-compatibility/2006">
      <mc:Choice xmlns:a14="http://schemas.microsoft.com/office/drawing/2010/main" Requires="a14">
        <xdr:graphicFrame macro="">
          <xdr:nvGraphicFramePr>
            <xdr:cNvPr id="52" name="Date (Year) 1">
              <a:extLst>
                <a:ext uri="{FF2B5EF4-FFF2-40B4-BE49-F238E27FC236}">
                  <a16:creationId xmlns:a16="http://schemas.microsoft.com/office/drawing/2014/main" id="{DD48CF91-437C-46C5-9A5C-82EC6F8F36D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6553198" y="228601"/>
              <a:ext cx="1789695" cy="696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424543</xdr:colOff>
          <xdr:row>26</xdr:row>
          <xdr:rowOff>87085</xdr:rowOff>
        </xdr:from>
        <xdr:to>
          <xdr:col>13</xdr:col>
          <xdr:colOff>435429</xdr:colOff>
          <xdr:row>32</xdr:row>
          <xdr:rowOff>32657</xdr:rowOff>
        </xdr:to>
        <xdr:pic>
          <xdr:nvPicPr>
            <xdr:cNvPr id="56" name="Picture 55">
              <a:extLst>
                <a:ext uri="{FF2B5EF4-FFF2-40B4-BE49-F238E27FC236}">
                  <a16:creationId xmlns:a16="http://schemas.microsoft.com/office/drawing/2014/main" id="{0A51CD62-E180-4342-A656-F9178B247CF4}"/>
                </a:ext>
              </a:extLst>
            </xdr:cNvPr>
            <xdr:cNvPicPr>
              <a:picLocks noChangeAspect="1" noChangeArrowheads="1"/>
              <a:extLst>
                <a:ext uri="{84589F7E-364E-4C9E-8A38-B11213B215E9}">
                  <a14:cameraTool cellRange="Pivot!$A$47:$D$49" spid="_x0000_s2092"/>
                </a:ext>
              </a:extLst>
            </xdr:cNvPicPr>
          </xdr:nvPicPr>
          <xdr:blipFill>
            <a:blip xmlns:r="http://schemas.openxmlformats.org/officeDocument/2006/relationships" r:embed="rId18"/>
            <a:srcRect/>
            <a:stretch>
              <a:fillRect/>
            </a:stretch>
          </xdr:blipFill>
          <xdr:spPr bwMode="auto">
            <a:xfrm>
              <a:off x="424543" y="4898571"/>
              <a:ext cx="7935686" cy="10559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68580</xdr:colOff>
      <xdr:row>0</xdr:row>
      <xdr:rowOff>0</xdr:rowOff>
    </xdr:from>
    <xdr:to>
      <xdr:col>18</xdr:col>
      <xdr:colOff>251460</xdr:colOff>
      <xdr:row>26</xdr:row>
      <xdr:rowOff>129540</xdr:rowOff>
    </xdr:to>
    <xdr:graphicFrame macro="">
      <xdr:nvGraphicFramePr>
        <xdr:cNvPr id="3" name="Chart 2">
          <a:extLst>
            <a:ext uri="{FF2B5EF4-FFF2-40B4-BE49-F238E27FC236}">
              <a16:creationId xmlns:a16="http://schemas.microsoft.com/office/drawing/2014/main" id="{9C4BD9BE-4BA9-4DD4-AD47-1CE744A27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0.08197</cdr:x>
      <cdr:y>0.19189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85B9EA4-9678-4B0B-95DE-B19DFF6444A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914400" cy="9372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289560</xdr:colOff>
      <xdr:row>0</xdr:row>
      <xdr:rowOff>0</xdr:rowOff>
    </xdr:from>
    <xdr:to>
      <xdr:col>18</xdr:col>
      <xdr:colOff>38100</xdr:colOff>
      <xdr:row>24</xdr:row>
      <xdr:rowOff>99060</xdr:rowOff>
    </xdr:to>
    <xdr:graphicFrame macro="">
      <xdr:nvGraphicFramePr>
        <xdr:cNvPr id="2" name="Chart 1">
          <a:extLst>
            <a:ext uri="{FF2B5EF4-FFF2-40B4-BE49-F238E27FC236}">
              <a16:creationId xmlns:a16="http://schemas.microsoft.com/office/drawing/2014/main" id="{F3D90DEF-28D4-43F0-AE25-7074383CA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99060</xdr:colOff>
      <xdr:row>0</xdr:row>
      <xdr:rowOff>0</xdr:rowOff>
    </xdr:from>
    <xdr:to>
      <xdr:col>1</xdr:col>
      <xdr:colOff>403860</xdr:colOff>
      <xdr:row>5</xdr:row>
      <xdr:rowOff>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5B2F033-2B1F-4894-A538-1014CDC66B9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9060" y="0"/>
          <a:ext cx="914400" cy="914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99060</xdr:colOff>
      <xdr:row>0</xdr:row>
      <xdr:rowOff>0</xdr:rowOff>
    </xdr:from>
    <xdr:to>
      <xdr:col>1</xdr:col>
      <xdr:colOff>403860</xdr:colOff>
      <xdr:row>5</xdr:row>
      <xdr:rowOff>0</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DC385A62-CE4A-4B12-8F19-1F6F27D4FE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060" y="0"/>
          <a:ext cx="914400" cy="914400"/>
        </a:xfrm>
        <a:prstGeom prst="rect">
          <a:avLst/>
        </a:prstGeom>
      </xdr:spPr>
    </xdr:pic>
    <xdr:clientData/>
  </xdr:twoCellAnchor>
  <xdr:twoCellAnchor>
    <xdr:from>
      <xdr:col>1</xdr:col>
      <xdr:colOff>266700</xdr:colOff>
      <xdr:row>0</xdr:row>
      <xdr:rowOff>0</xdr:rowOff>
    </xdr:from>
    <xdr:to>
      <xdr:col>17</xdr:col>
      <xdr:colOff>472440</xdr:colOff>
      <xdr:row>24</xdr:row>
      <xdr:rowOff>0</xdr:rowOff>
    </xdr:to>
    <xdr:graphicFrame macro="">
      <xdr:nvGraphicFramePr>
        <xdr:cNvPr id="4" name="Chart 3">
          <a:extLst>
            <a:ext uri="{FF2B5EF4-FFF2-40B4-BE49-F238E27FC236}">
              <a16:creationId xmlns:a16="http://schemas.microsoft.com/office/drawing/2014/main" id="{102A43B4-BC5D-4084-9D27-1879571AC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0694447" createdVersion="5" refreshedVersion="7" minRefreshableVersion="3" recordCount="0" supportSubquery="1" supportAdvancedDrill="1" xr:uid="{13D05E72-BD2C-4567-9A7B-27F17D7D155F}">
  <cacheSource type="external" connectionId="3"/>
  <cacheFields count="4">
    <cacheField name="[Calendar_Table].[Date (Month)].[Date (Month)]" caption="Date (Month)" numFmtId="0" hierarchy="1" level="1">
      <sharedItems containsNonDate="0"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ntainsNonDate="0" count="1">
        <s v="Qtr2"/>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0810186" createdVersion="5" refreshedVersion="7" minRefreshableVersion="3" recordCount="0" supportSubquery="1" supportAdvancedDrill="1" xr:uid="{A8863FF5-2741-4FA5-ABCC-3628896C44BA}">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1157409" createdVersion="5" refreshedVersion="7" minRefreshableVersion="3" recordCount="0" supportSubquery="1" supportAdvancedDrill="1" xr:uid="{ED422C64-0FB7-4C95-8B01-AAD08BA63ECC}">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1504632" createdVersion="5" refreshedVersion="7" minRefreshableVersion="3" recordCount="0" supportSubquery="1" supportAdvancedDrill="1" xr:uid="{A8DB1BD6-82DD-49C3-892F-3F70B4DD7438}">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173611" createdVersion="5" refreshedVersion="7" minRefreshableVersion="3" recordCount="0" supportSubquery="1" supportAdvancedDrill="1" xr:uid="{06195874-328C-4472-B868-12895A85406D}">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173611" createdVersion="5" refreshedVersion="7" minRefreshableVersion="3" recordCount="0" supportSubquery="1" supportAdvancedDrill="1" xr:uid="{D8AD2FBE-F9BE-4B2D-96E6-5A97FC8FC9EE}">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2083333" createdVersion="5" refreshedVersion="7" minRefreshableVersion="3" recordCount="0" supportSubquery="1" supportAdvancedDrill="1" xr:uid="{5BDFD894-0767-492C-93E4-C444B8359EE3}">
  <cacheSource type="external" connectionId="3"/>
  <cacheFields count="4">
    <cacheField name="[Measures].[Distinct Count of Patient Id]" caption="Distinct Count of Patient Id" numFmtId="0" hierarchy="24" level="32767"/>
    <cacheField name="[Calendar_Table].[Date (Month)].[Date (Month)]" caption="Date (Month)" numFmtId="0" hierarchy="1" level="1">
      <sharedItems count="1">
        <s v="Jun"/>
      </sharedItems>
    </cacheField>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2"/>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2430556" createdVersion="5" refreshedVersion="7" minRefreshableVersion="3" recordCount="0" supportSubquery="1" supportAdvancedDrill="1" xr:uid="{0EDB7C73-85A9-49FE-8216-1D565990B6C8}">
  <cacheSource type="external" connectionId="3"/>
  <cacheFields count="4">
    <cacheField name="[Calendar_Table].[Date (Month)].[Date (Month)]" caption="Date (Month)" numFmtId="0" hierarchy="1" level="1">
      <sharedItems containsSemiMixedTypes="0" containsNonDate="0" containsString="0"/>
    </cacheField>
    <cacheField name="[Calendar_Table].[Date (Day)].[Date (Day)]" caption="Date (Day)" numFmtId="0" hierarchy="2" level="1">
      <sharedItems count="31">
        <s v="1-Jun"/>
        <s v="2-Jun"/>
        <s v="3-Jun"/>
        <s v="4-Jun"/>
        <s v="5-Jun"/>
        <s v="6-Jun"/>
        <s v="7-Jun"/>
        <s v="8-Jun"/>
        <s v="9-Jun"/>
        <s v="10-Jun"/>
        <s v="11-Jun"/>
        <s v="12-Jun"/>
        <s v="13-Jun"/>
        <s v="14-Jun"/>
        <s v="15-Jun"/>
        <s v="16-Jun"/>
        <s v="17-Jun"/>
        <s v="18-Jun"/>
        <s v="19-Jun"/>
        <s v="20-Jun"/>
        <s v="21-Jun"/>
        <s v="22-Jun"/>
        <s v="23-Jun"/>
        <s v="24-Jun"/>
        <s v="25-Jun"/>
        <s v="26-Jun"/>
        <s v="27-Jun"/>
        <s v="28-Jun"/>
        <s v="29-Jun"/>
        <s v="30-Jun"/>
        <s v="2-Jan" u="1"/>
      </sharedItems>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277778" createdVersion="5" refreshedVersion="7" minRefreshableVersion="3" recordCount="0" supportSubquery="1" supportAdvancedDrill="1" xr:uid="{25AD3A30-BDBA-47A8-89BC-035F18D738A3}">
  <cacheSource type="external" connectionId="3"/>
  <cacheFields count="4">
    <cacheField name="[Calendar_Table].[Date (Month)].[Date (Month)]" caption="Date (Month)" numFmtId="0" hierarchy="1" level="1">
      <sharedItems containsSemiMixedTypes="0" containsNonDate="0" containsString="0"/>
    </cacheField>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335648" createdVersion="5" refreshedVersion="7" minRefreshableVersion="3" recordCount="0" supportSubquery="1" supportAdvancedDrill="1" xr:uid="{21F19B2F-C716-427B-B0B0-E3BE73A1031D}">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3703703" createdVersion="5" refreshedVersion="7" minRefreshableVersion="3" recordCount="0" supportSubquery="1" supportAdvancedDrill="1" xr:uid="{6023432F-7728-4A5A-8675-302B2B183242}">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948704282404" createdVersion="5" refreshedVersion="7" minRefreshableVersion="3" recordCount="0" supportSubquery="1" supportAdvancedDrill="1" xr:uid="{F0175081-6666-4886-9EFD-75E9EE0F6134}">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10.886718171299" createdVersion="3" refreshedVersion="7" minRefreshableVersion="3" recordCount="0" supportSubquery="1" supportAdvancedDrill="1" xr:uid="{7F054285-C585-424E-90D4-FEA89D28872F}">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52053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FE9E04-6586-49FF-8D4E-1C32ADFAFF44}" name="PivotTable12" cacheId="2198" applyNumberFormats="0" applyBorderFormats="0" applyFontFormats="0" applyPatternFormats="0" applyAlignmentFormats="0" applyWidthHeightFormats="1" dataCaption="Values" tag="57f4b4c9-8096-4cad-a0fa-069998b9f132" updatedVersion="7" minRefreshableVersion="3" subtotalHiddenItems="1" itemPrintTitles="1" createdVersion="5" indent="0" outline="1" outlineData="1" multipleFieldFilters="0" chartFormat="11">
  <location ref="A105:A10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5">
    <format dxfId="589">
      <pivotArea outline="0" collapsedLevelsAreSubtotals="1" fieldPosition="0"/>
    </format>
    <format dxfId="590">
      <pivotArea type="all" dataOnly="0" outline="0" fieldPosition="0"/>
    </format>
    <format dxfId="591">
      <pivotArea outline="0" collapsedLevelsAreSubtotals="1" fieldPosition="0"/>
    </format>
    <format dxfId="592">
      <pivotArea dataOnly="0" labelOnly="1" grandRow="1" outline="0" fieldPosition="0"/>
    </format>
    <format dxfId="593">
      <pivotArea dataOnly="0" labelOnly="1" outline="0" axis="axisValues"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AA41B7-AE12-4433-989C-E847FE59CF55}" name="PivotTable11" cacheId="2207" applyNumberFormats="0" applyBorderFormats="0" applyFontFormats="0" applyPatternFormats="0" applyAlignmentFormats="0" applyWidthHeightFormats="1" dataCaption="Values" tag="57f4b4c9-8096-4cad-a0fa-069998b9f132" updatedVersion="7" minRefreshableVersion="3" subtotalHiddenItems="1" itemPrintTitles="1" createdVersion="5" indent="0" outline="1" outlineData="1" multipleFieldFilters="0" chartFormat="14">
  <location ref="A91:B10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5">
    <format dxfId="594">
      <pivotArea outline="0" collapsedLevelsAreSubtotals="1" fieldPosition="0"/>
    </format>
    <format dxfId="595">
      <pivotArea type="all" dataOnly="0" outline="0" fieldPosition="0"/>
    </format>
    <format dxfId="596">
      <pivotArea outline="0" collapsedLevelsAreSubtotals="1" fieldPosition="0"/>
    </format>
    <format dxfId="597">
      <pivotArea dataOnly="0" labelOnly="1" grandRow="1" outline="0" fieldPosition="0"/>
    </format>
    <format dxfId="598">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10C806-B91A-466F-BC2A-F937A6D27874}" name="PivotTable10" cacheId="2204" applyNumberFormats="0" applyBorderFormats="0" applyFontFormats="0" applyPatternFormats="0" applyAlignmentFormats="0" applyWidthHeightFormats="1" dataCaption="Values" tag="57f4b4c9-8096-4cad-a0fa-069998b9f132" updatedVersion="7" minRefreshableVersion="3" subtotalHiddenItems="1" itemPrintTitles="1" createdVersion="5" indent="0" outline="1" outlineData="1" multipleFieldFilters="0" chartFormat="11">
  <location ref="A84:B8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5">
    <format dxfId="599">
      <pivotArea outline="0" collapsedLevelsAreSubtotals="1" fieldPosition="0"/>
    </format>
    <format dxfId="600">
      <pivotArea type="all" dataOnly="0" outline="0" fieldPosition="0"/>
    </format>
    <format dxfId="601">
      <pivotArea outline="0" collapsedLevelsAreSubtotals="1" fieldPosition="0"/>
    </format>
    <format dxfId="602">
      <pivotArea dataOnly="0" labelOnly="1" grandRow="1" outline="0" fieldPosition="0"/>
    </format>
    <format dxfId="603">
      <pivotArea dataOnly="0" labelOnly="1" outline="0" axis="axisValues" fieldPosition="0"/>
    </format>
  </formats>
  <chartFormats count="4">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5009D4-65C9-4E99-B853-3C693013B497}" name="PivotTable9" cacheId="2231" applyNumberFormats="0" applyBorderFormats="0" applyFontFormats="0" applyPatternFormats="0" applyAlignmentFormats="0" applyWidthHeightFormats="1" dataCaption="Values" tag="57f4b4c9-8096-4cad-a0fa-069998b9f132" updatedVersion="7" minRefreshableVersion="3" subtotalHiddenItems="1" itemPrintTitles="1" createdVersion="5" indent="0" outline="1" outlineData="1" multipleFieldFilters="0" chartFormat="8">
  <location ref="A76:B7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5">
    <format dxfId="604">
      <pivotArea outline="0" collapsedLevelsAreSubtotals="1" fieldPosition="0"/>
    </format>
    <format dxfId="605">
      <pivotArea type="all" dataOnly="0" outline="0" fieldPosition="0"/>
    </format>
    <format dxfId="606">
      <pivotArea outline="0" collapsedLevelsAreSubtotals="1" fieldPosition="0"/>
    </format>
    <format dxfId="607">
      <pivotArea dataOnly="0" labelOnly="1" grandRow="1" outline="0" fieldPosition="0"/>
    </format>
    <format dxfId="608">
      <pivotArea dataOnly="0" labelOnly="1" outline="0" axis="axisValues" fieldPosition="0"/>
    </format>
  </formats>
  <chartFormats count="9">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 count="1" selected="0">
            <x v="0"/>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556BA5-9250-47E1-8AE6-ABF576C8820D}" name="PivotTable6" cacheId="2222" applyNumberFormats="0" applyBorderFormats="0" applyFontFormats="0" applyPatternFormats="0" applyAlignmentFormats="0" applyWidthHeightFormats="1" dataCaption="Values" tag="9481a4a3-5e6a-48b0-919b-7d20e2b90a52" updatedVersion="7" minRefreshableVersion="3" subtotalHiddenItems="1" itemPrintTitles="1" createdVersion="5" indent="0" outline="1" outlineData="1" multipleFieldFilters="0" chartFormat="28">
  <location ref="Z6:AA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1" baseItem="4" numFmtId="2"/>
  </dataFields>
  <chartFormats count="3">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0046C7-16FC-472D-9013-9BF15BC689E3}" name="PivotTable4" cacheId="2216" applyNumberFormats="0" applyBorderFormats="0" applyFontFormats="0" applyPatternFormats="0" applyAlignmentFormats="0" applyWidthHeightFormats="1" dataCaption="Values" tag="9481a4a3-5e6a-48b0-919b-7d20e2b90a52" updatedVersion="7" minRefreshableVersion="3" subtotalHiddenItems="1" itemPrintTitles="1" createdVersion="5" indent="0" outline="1" outlineData="1" multipleFieldFilters="0" chartFormat="16">
  <location ref="D4:E36" firstHeaderRow="1" firstDataRow="1" firstDataCol="1"/>
  <pivotFields count="4">
    <pivotField dataField="1" subtotalTop="0" showAll="0" defaultSubtotal="0"/>
    <pivotField axis="axisRow" allDrilled="1" subtotalTop="0" showAll="0" dataSourceSort="1" defaultSubtotal="0" defaultAttributeDrillState="1">
      <items count="1">
        <item s="1" x="0"/>
      </items>
    </pivotField>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2">
    <field x="1"/>
    <field x="2"/>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AA2D29-E986-4E24-9BC5-AA6046B56CD4}" name="PivotTable3" cacheId="2213" applyNumberFormats="0" applyBorderFormats="0" applyFontFormats="0" applyPatternFormats="0" applyAlignmentFormats="0" applyWidthHeightFormats="1" dataCaption="Values" tag="57f4b4c9-8096-4cad-a0fa-069998b9f132" updatedVersion="7"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18">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53742B-42E2-47F6-A722-4A3E5F7D711C}" name="PivotTable2" cacheId="2210" applyNumberFormats="0" applyBorderFormats="0" applyFontFormats="0" applyPatternFormats="0" applyAlignmentFormats="0" applyWidthHeightFormats="1" dataCaption="Values" tag="18a60aa3-57f4-44ee-91fc-42e42984fe61"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19">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C91298-79D5-41DA-BBF6-60B694B99B09}" name="PivotTable7" cacheId="2225" applyNumberFormats="0" applyBorderFormats="0" applyFontFormats="0" applyPatternFormats="0" applyAlignmentFormats="0" applyWidthHeightFormats="1" dataCaption="Values" tag="57f4b4c9-8096-4cad-a0fa-069998b9f132" updatedVersion="7" minRefreshableVersion="3" subtotalHiddenItems="1" itemPrintTitles="1" createdVersion="5" indent="0" outline="1" outlineData="1" multipleFieldFilters="0" chartFormat="7">
  <location ref="A42:C4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616">
      <pivotArea outline="0" collapsedLevelsAreSubtotals="1" fieldPosition="0"/>
    </format>
    <format dxfId="617">
      <pivotArea outline="0" fieldPosition="0">
        <references count="1">
          <reference field="4294967294" count="1">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8B71E3-329E-47ED-85BD-F815ADF2A37F}" name="PivotTable1" cacheId="2201" applyNumberFormats="0" applyBorderFormats="0" applyFontFormats="0" applyPatternFormats="0" applyAlignmentFormats="0" applyWidthHeightFormats="1" dataCaption="Values" tag="9481a4a3-5e6a-48b0-919b-7d20e2b90a52"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1C4703-210C-4653-820F-CDC87B1491E8}" name="PivotTable8" cacheId="2228" applyNumberFormats="0" applyBorderFormats="0" applyFontFormats="0" applyPatternFormats="0" applyAlignmentFormats="0" applyWidthHeightFormats="1" dataCaption="Values" tag="57f4b4c9-8096-4cad-a0fa-069998b9f132" updatedVersion="7" minRefreshableVersion="3" subtotalHiddenItems="1" itemPrintTitles="1" createdVersion="5" indent="0" outline="1" outlineData="1" multipleFieldFilters="0" chartFormat="5">
  <location ref="A58: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7">
    <format dxfId="609">
      <pivotArea outline="0" collapsedLevelsAreSubtotals="1" fieldPosition="0"/>
    </format>
    <format dxfId="610">
      <pivotArea type="all" dataOnly="0" outline="0" fieldPosition="0"/>
    </format>
    <format dxfId="611">
      <pivotArea outline="0" collapsedLevelsAreSubtotals="1" fieldPosition="0"/>
    </format>
    <format dxfId="612">
      <pivotArea field="1" type="button" dataOnly="0" labelOnly="1" outline="0" axis="axisRow" fieldPosition="0"/>
    </format>
    <format dxfId="613">
      <pivotArea dataOnly="0" labelOnly="1" fieldPosition="0">
        <references count="1">
          <reference field="1" count="0"/>
        </references>
      </pivotArea>
    </format>
    <format dxfId="614">
      <pivotArea dataOnly="0" labelOnly="1" grandRow="1" outline="0" fieldPosition="0"/>
    </format>
    <format dxfId="615">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92CA7D-7A72-419C-8055-C08F53EE4941}" name="PivotTable5" cacheId="2219" applyNumberFormats="0" applyBorderFormats="0" applyFontFormats="0" applyPatternFormats="0" applyAlignmentFormats="0" applyWidthHeightFormats="1" dataCaption="Values" tag="9481a4a3-5e6a-48b0-919b-7d20e2b90a52" updatedVersion="7" minRefreshableVersion="3" subtotalHiddenItems="1" itemPrintTitles="1" createdVersion="5" indent="0" outline="1" outlineData="1" multipleFieldFilters="0" chartFormat="24">
  <location ref="R6:S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1" baseItem="11" numFmtId="2"/>
  </dataFields>
  <chartFormats count="4">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3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8F2EBA1-DDE5-4D69-A447-60F3DEACB46F}"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75205318">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D12C1B4-527C-492A-9000-2CBF512F0687}"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520531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BAC0C7E-4BD2-4C18-8BC6-BAB4A5C88782}" cache="Slicer_Date__Month" caption="Date (Month)" level="1" style="SlicerStyleDark1" rowHeight="234950"/>
  <slicer name="Date (Year)" xr10:uid="{F2FF1914-15D6-482A-9CEE-9D1C35F9700F}" cache="Slicer_Date__Year" caption="Date (Year)" columnCount="2" showCaption="0" level="1" style="Slicer Style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8E32945-FDE5-4D81-8A50-A3DC41029F18}" cache="Slicer_Date__Month" caption="Date (Month)" level="1" style="Slicer Style 3" rowHeight="234950"/>
  <slicer name="Date (Year) 1" xr10:uid="{3EE68C48-FB23-4031-869A-23D03AFC3285}" cache="Slicer_Date__Year" caption="Date (Year)" columnCount="2" showCaption="0" level="1" style="Slicer Style 3" rowHeight="75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98D18-D77F-46A2-AD6F-E0D607CBF576}">
  <dimension ref="A1:AA107"/>
  <sheetViews>
    <sheetView topLeftCell="A39" zoomScale="107" zoomScaleNormal="107" workbookViewId="0">
      <selection activeCell="D52" sqref="D52"/>
    </sheetView>
  </sheetViews>
  <sheetFormatPr defaultRowHeight="14.4" x14ac:dyDescent="0.3"/>
  <cols>
    <col min="1" max="1" width="17.5546875" customWidth="1"/>
    <col min="2" max="2" width="15" customWidth="1"/>
    <col min="3" max="3" width="11.44140625" customWidth="1"/>
    <col min="4" max="4" width="22" bestFit="1" customWidth="1"/>
    <col min="5" max="5" width="25" bestFit="1" customWidth="1"/>
    <col min="6" max="6" width="13" bestFit="1" customWidth="1"/>
    <col min="7" max="7" width="8.33203125" bestFit="1" customWidth="1"/>
    <col min="18" max="18" width="19.44140625" bestFit="1" customWidth="1"/>
    <col min="19" max="19" width="26" bestFit="1" customWidth="1"/>
    <col min="26" max="26" width="15" bestFit="1" customWidth="1"/>
    <col min="27" max="27" width="33.33203125" bestFit="1" customWidth="1"/>
  </cols>
  <sheetData>
    <row r="1" spans="1:27" x14ac:dyDescent="0.3">
      <c r="R1" t="s">
        <v>9</v>
      </c>
    </row>
    <row r="3" spans="1:27" x14ac:dyDescent="0.3">
      <c r="A3" t="s">
        <v>1</v>
      </c>
      <c r="D3" t="s">
        <v>8</v>
      </c>
    </row>
    <row r="4" spans="1:27" x14ac:dyDescent="0.3">
      <c r="A4" t="s">
        <v>0</v>
      </c>
      <c r="D4" s="4" t="s">
        <v>4</v>
      </c>
      <c r="E4" t="s">
        <v>0</v>
      </c>
      <c r="Z4" t="s">
        <v>10</v>
      </c>
    </row>
    <row r="5" spans="1:27" x14ac:dyDescent="0.3">
      <c r="A5" s="1">
        <v>485</v>
      </c>
      <c r="D5" s="5" t="s">
        <v>24</v>
      </c>
      <c r="E5" s="1"/>
    </row>
    <row r="6" spans="1:27" x14ac:dyDescent="0.3">
      <c r="D6" s="6" t="s">
        <v>25</v>
      </c>
      <c r="E6" s="1">
        <v>17</v>
      </c>
      <c r="R6" s="4" t="s">
        <v>4</v>
      </c>
      <c r="S6" t="s">
        <v>2</v>
      </c>
      <c r="Z6" s="4" t="s">
        <v>4</v>
      </c>
      <c r="AA6" t="s">
        <v>3</v>
      </c>
    </row>
    <row r="7" spans="1:27" x14ac:dyDescent="0.3">
      <c r="D7" s="6" t="s">
        <v>26</v>
      </c>
      <c r="E7" s="1">
        <v>10</v>
      </c>
      <c r="R7" s="5" t="s">
        <v>25</v>
      </c>
      <c r="S7" s="2">
        <v>33.352941176470587</v>
      </c>
      <c r="Z7" s="5" t="s">
        <v>25</v>
      </c>
      <c r="AA7" s="2">
        <v>4.75</v>
      </c>
    </row>
    <row r="8" spans="1:27" x14ac:dyDescent="0.3">
      <c r="A8" t="s">
        <v>2</v>
      </c>
      <c r="D8" s="6" t="s">
        <v>27</v>
      </c>
      <c r="E8" s="1">
        <v>23</v>
      </c>
      <c r="R8" s="5" t="s">
        <v>26</v>
      </c>
      <c r="S8" s="2">
        <v>38.4</v>
      </c>
      <c r="Z8" s="5" t="s">
        <v>26</v>
      </c>
      <c r="AA8" s="2">
        <v>5.2</v>
      </c>
    </row>
    <row r="9" spans="1:27" x14ac:dyDescent="0.3">
      <c r="A9" s="2">
        <v>35.507216494845359</v>
      </c>
      <c r="D9" s="6" t="s">
        <v>28</v>
      </c>
      <c r="E9" s="1">
        <v>15</v>
      </c>
      <c r="R9" s="5" t="s">
        <v>27</v>
      </c>
      <c r="S9" s="2">
        <v>38.521739130434781</v>
      </c>
      <c r="Z9" s="5" t="s">
        <v>27</v>
      </c>
      <c r="AA9" s="2">
        <v>3.375</v>
      </c>
    </row>
    <row r="10" spans="1:27" x14ac:dyDescent="0.3">
      <c r="D10" s="6" t="s">
        <v>29</v>
      </c>
      <c r="E10" s="1">
        <v>14</v>
      </c>
      <c r="R10" s="5" t="s">
        <v>28</v>
      </c>
      <c r="S10" s="2">
        <v>30.4</v>
      </c>
      <c r="Z10" s="5" t="s">
        <v>28</v>
      </c>
      <c r="AA10" s="2">
        <v>5.8</v>
      </c>
    </row>
    <row r="11" spans="1:27" x14ac:dyDescent="0.3">
      <c r="A11" t="s">
        <v>3</v>
      </c>
      <c r="D11" s="6" t="s">
        <v>30</v>
      </c>
      <c r="E11" s="1">
        <v>11</v>
      </c>
      <c r="R11" s="5" t="s">
        <v>29</v>
      </c>
      <c r="S11" s="2">
        <v>33.142857142857146</v>
      </c>
      <c r="Z11" s="5" t="s">
        <v>29</v>
      </c>
      <c r="AA11" s="2">
        <v>4.375</v>
      </c>
    </row>
    <row r="12" spans="1:27" x14ac:dyDescent="0.3">
      <c r="A12" s="2">
        <v>4.7092198581560281</v>
      </c>
      <c r="D12" s="6" t="s">
        <v>31</v>
      </c>
      <c r="E12" s="1">
        <v>15</v>
      </c>
      <c r="R12" s="5" t="s">
        <v>30</v>
      </c>
      <c r="S12" s="2">
        <v>38.18181818181818</v>
      </c>
      <c r="Z12" s="5" t="s">
        <v>30</v>
      </c>
      <c r="AA12" s="2">
        <v>3</v>
      </c>
    </row>
    <row r="13" spans="1:27" x14ac:dyDescent="0.3">
      <c r="D13" s="6" t="s">
        <v>32</v>
      </c>
      <c r="E13" s="1">
        <v>20</v>
      </c>
      <c r="R13" s="5" t="s">
        <v>31</v>
      </c>
      <c r="S13" s="2">
        <v>39.733333333333334</v>
      </c>
      <c r="Z13" s="5" t="s">
        <v>31</v>
      </c>
      <c r="AA13" s="2">
        <v>5</v>
      </c>
    </row>
    <row r="14" spans="1:27" x14ac:dyDescent="0.3">
      <c r="D14" s="6" t="s">
        <v>33</v>
      </c>
      <c r="E14" s="1">
        <v>21</v>
      </c>
      <c r="R14" s="5" t="s">
        <v>32</v>
      </c>
      <c r="S14" s="2">
        <v>37</v>
      </c>
      <c r="Z14" s="5" t="s">
        <v>32</v>
      </c>
      <c r="AA14" s="2">
        <v>3</v>
      </c>
    </row>
    <row r="15" spans="1:27" x14ac:dyDescent="0.3">
      <c r="D15" s="6" t="s">
        <v>34</v>
      </c>
      <c r="E15" s="1">
        <v>17</v>
      </c>
      <c r="R15" s="5" t="s">
        <v>33</v>
      </c>
      <c r="S15" s="2">
        <v>35.61904761904762</v>
      </c>
      <c r="Z15" s="5" t="s">
        <v>33</v>
      </c>
      <c r="AA15" s="2">
        <v>4.9090909090909092</v>
      </c>
    </row>
    <row r="16" spans="1:27" x14ac:dyDescent="0.3">
      <c r="D16" s="6" t="s">
        <v>35</v>
      </c>
      <c r="E16" s="1">
        <v>17</v>
      </c>
      <c r="R16" s="5" t="s">
        <v>34</v>
      </c>
      <c r="S16" s="2">
        <v>34.176470588235297</v>
      </c>
      <c r="Z16" s="5" t="s">
        <v>34</v>
      </c>
      <c r="AA16" s="2">
        <v>3.8333333333333335</v>
      </c>
    </row>
    <row r="17" spans="4:27" x14ac:dyDescent="0.3">
      <c r="D17" s="6" t="s">
        <v>36</v>
      </c>
      <c r="E17" s="1">
        <v>17</v>
      </c>
      <c r="R17" s="5" t="s">
        <v>35</v>
      </c>
      <c r="S17" s="2">
        <v>37.176470588235297</v>
      </c>
      <c r="Z17" s="5" t="s">
        <v>35</v>
      </c>
      <c r="AA17" s="2">
        <v>3.875</v>
      </c>
    </row>
    <row r="18" spans="4:27" x14ac:dyDescent="0.3">
      <c r="D18" s="6" t="s">
        <v>37</v>
      </c>
      <c r="E18" s="1">
        <v>17</v>
      </c>
      <c r="R18" s="5" t="s">
        <v>36</v>
      </c>
      <c r="S18" s="2">
        <v>36.647058823529413</v>
      </c>
      <c r="Z18" s="5" t="s">
        <v>36</v>
      </c>
      <c r="AA18" s="2">
        <v>4.333333333333333</v>
      </c>
    </row>
    <row r="19" spans="4:27" x14ac:dyDescent="0.3">
      <c r="D19" s="6" t="s">
        <v>38</v>
      </c>
      <c r="E19" s="1">
        <v>11</v>
      </c>
      <c r="R19" s="5" t="s">
        <v>37</v>
      </c>
      <c r="S19" s="2">
        <v>34.941176470588232</v>
      </c>
      <c r="Z19" s="5" t="s">
        <v>37</v>
      </c>
      <c r="AA19" s="2">
        <v>3.5</v>
      </c>
    </row>
    <row r="20" spans="4:27" x14ac:dyDescent="0.3">
      <c r="D20" s="6" t="s">
        <v>39</v>
      </c>
      <c r="E20" s="1">
        <v>23</v>
      </c>
      <c r="R20" s="5" t="s">
        <v>38</v>
      </c>
      <c r="S20" s="2">
        <v>44</v>
      </c>
      <c r="Z20" s="5" t="s">
        <v>38</v>
      </c>
      <c r="AA20" s="2">
        <v>5.4</v>
      </c>
    </row>
    <row r="21" spans="4:27" x14ac:dyDescent="0.3">
      <c r="D21" s="6" t="s">
        <v>40</v>
      </c>
      <c r="E21" s="1">
        <v>14</v>
      </c>
      <c r="R21" s="5" t="s">
        <v>39</v>
      </c>
      <c r="S21" s="2">
        <v>38.913043478260867</v>
      </c>
      <c r="Z21" s="5" t="s">
        <v>39</v>
      </c>
      <c r="AA21" s="2">
        <v>5.375</v>
      </c>
    </row>
    <row r="22" spans="4:27" x14ac:dyDescent="0.3">
      <c r="D22" s="6" t="s">
        <v>41</v>
      </c>
      <c r="E22" s="1">
        <v>22</v>
      </c>
      <c r="R22" s="5" t="s">
        <v>40</v>
      </c>
      <c r="S22" s="2">
        <v>31</v>
      </c>
      <c r="Z22" s="5" t="s">
        <v>40</v>
      </c>
      <c r="AA22" s="2">
        <v>3.3333333333333335</v>
      </c>
    </row>
    <row r="23" spans="4:27" x14ac:dyDescent="0.3">
      <c r="D23" s="6" t="s">
        <v>42</v>
      </c>
      <c r="E23" s="1">
        <v>16</v>
      </c>
      <c r="R23" s="5" t="s">
        <v>41</v>
      </c>
      <c r="S23" s="2">
        <v>34.227272727272727</v>
      </c>
      <c r="Z23" s="5" t="s">
        <v>41</v>
      </c>
      <c r="AA23" s="2">
        <v>6.2</v>
      </c>
    </row>
    <row r="24" spans="4:27" x14ac:dyDescent="0.3">
      <c r="D24" s="6" t="s">
        <v>43</v>
      </c>
      <c r="E24" s="1">
        <v>13</v>
      </c>
      <c r="R24" s="5" t="s">
        <v>42</v>
      </c>
      <c r="S24" s="2">
        <v>31</v>
      </c>
      <c r="Z24" s="5" t="s">
        <v>42</v>
      </c>
      <c r="AA24" s="2">
        <v>1.6666666666666667</v>
      </c>
    </row>
    <row r="25" spans="4:27" x14ac:dyDescent="0.3">
      <c r="D25" s="6" t="s">
        <v>44</v>
      </c>
      <c r="E25" s="1">
        <v>14</v>
      </c>
      <c r="R25" s="5" t="s">
        <v>43</v>
      </c>
      <c r="S25" s="2">
        <v>32.153846153846153</v>
      </c>
      <c r="Z25" s="5" t="s">
        <v>43</v>
      </c>
      <c r="AA25" s="2">
        <v>4.5</v>
      </c>
    </row>
    <row r="26" spans="4:27" x14ac:dyDescent="0.3">
      <c r="D26" s="6" t="s">
        <v>45</v>
      </c>
      <c r="E26" s="1">
        <v>12</v>
      </c>
      <c r="R26" s="5" t="s">
        <v>44</v>
      </c>
      <c r="S26" s="2">
        <v>32.785714285714285</v>
      </c>
      <c r="Z26" s="5" t="s">
        <v>44</v>
      </c>
      <c r="AA26" s="2">
        <v>7.666666666666667</v>
      </c>
    </row>
    <row r="27" spans="4:27" x14ac:dyDescent="0.3">
      <c r="D27" s="6" t="s">
        <v>46</v>
      </c>
      <c r="E27" s="1">
        <v>12</v>
      </c>
      <c r="R27" s="5" t="s">
        <v>45</v>
      </c>
      <c r="S27" s="2">
        <v>30</v>
      </c>
      <c r="Z27" s="5" t="s">
        <v>45</v>
      </c>
      <c r="AA27" s="2">
        <v>4.4000000000000004</v>
      </c>
    </row>
    <row r="28" spans="4:27" x14ac:dyDescent="0.3">
      <c r="D28" s="6" t="s">
        <v>47</v>
      </c>
      <c r="E28" s="1">
        <v>20</v>
      </c>
      <c r="R28" s="5" t="s">
        <v>46</v>
      </c>
      <c r="S28" s="2">
        <v>33.5</v>
      </c>
      <c r="Z28" s="5" t="s">
        <v>46</v>
      </c>
      <c r="AA28" s="2">
        <v>6.5</v>
      </c>
    </row>
    <row r="29" spans="4:27" x14ac:dyDescent="0.3">
      <c r="D29" s="6" t="s">
        <v>48</v>
      </c>
      <c r="E29" s="1">
        <v>19</v>
      </c>
      <c r="R29" s="5" t="s">
        <v>47</v>
      </c>
      <c r="S29" s="2">
        <v>32.950000000000003</v>
      </c>
      <c r="Z29" s="5" t="s">
        <v>47</v>
      </c>
      <c r="AA29" s="2">
        <v>5</v>
      </c>
    </row>
    <row r="30" spans="4:27" x14ac:dyDescent="0.3">
      <c r="D30" s="6" t="s">
        <v>49</v>
      </c>
      <c r="E30" s="1">
        <v>13</v>
      </c>
      <c r="R30" s="5" t="s">
        <v>48</v>
      </c>
      <c r="S30" s="2">
        <v>35.842105263157897</v>
      </c>
      <c r="Z30" s="5" t="s">
        <v>48</v>
      </c>
      <c r="AA30" s="2">
        <v>5.25</v>
      </c>
    </row>
    <row r="31" spans="4:27" x14ac:dyDescent="0.3">
      <c r="D31" s="6" t="s">
        <v>50</v>
      </c>
      <c r="E31" s="1">
        <v>15</v>
      </c>
      <c r="R31" s="5" t="s">
        <v>49</v>
      </c>
      <c r="S31" s="2">
        <v>33.846153846153847</v>
      </c>
      <c r="Z31" s="5" t="s">
        <v>49</v>
      </c>
      <c r="AA31" s="2">
        <v>4.75</v>
      </c>
    </row>
    <row r="32" spans="4:27" x14ac:dyDescent="0.3">
      <c r="D32" s="6" t="s">
        <v>51</v>
      </c>
      <c r="E32" s="1">
        <v>19</v>
      </c>
      <c r="R32" s="5" t="s">
        <v>50</v>
      </c>
      <c r="S32" s="2">
        <v>39.06666666666667</v>
      </c>
      <c r="Z32" s="5" t="s">
        <v>50</v>
      </c>
      <c r="AA32" s="2">
        <v>5</v>
      </c>
    </row>
    <row r="33" spans="1:27" x14ac:dyDescent="0.3">
      <c r="D33" s="6" t="s">
        <v>52</v>
      </c>
      <c r="E33" s="1">
        <v>17</v>
      </c>
      <c r="R33" s="5" t="s">
        <v>51</v>
      </c>
      <c r="S33" s="2">
        <v>36.684210526315788</v>
      </c>
      <c r="Z33" s="5" t="s">
        <v>51</v>
      </c>
      <c r="AA33" s="2">
        <v>4</v>
      </c>
    </row>
    <row r="34" spans="1:27" x14ac:dyDescent="0.3">
      <c r="D34" s="6" t="s">
        <v>53</v>
      </c>
      <c r="E34" s="1">
        <v>15</v>
      </c>
      <c r="R34" s="5" t="s">
        <v>52</v>
      </c>
      <c r="S34" s="2">
        <v>33.764705882352942</v>
      </c>
      <c r="Z34" s="5" t="s">
        <v>52</v>
      </c>
      <c r="AA34" s="2">
        <v>5.333333333333333</v>
      </c>
    </row>
    <row r="35" spans="1:27" x14ac:dyDescent="0.3">
      <c r="D35" s="6" t="s">
        <v>54</v>
      </c>
      <c r="E35" s="1">
        <v>16</v>
      </c>
      <c r="R35" s="5" t="s">
        <v>53</v>
      </c>
      <c r="S35" s="2">
        <v>34.533333333333331</v>
      </c>
      <c r="Z35" s="5" t="s">
        <v>53</v>
      </c>
      <c r="AA35" s="2">
        <v>6</v>
      </c>
    </row>
    <row r="36" spans="1:27" x14ac:dyDescent="0.3">
      <c r="D36" s="5" t="s">
        <v>5</v>
      </c>
      <c r="E36" s="1">
        <v>485</v>
      </c>
      <c r="R36" s="5" t="s">
        <v>54</v>
      </c>
      <c r="S36" s="2">
        <v>42.125</v>
      </c>
      <c r="Z36" s="5" t="s">
        <v>54</v>
      </c>
      <c r="AA36" s="2">
        <v>6.333333333333333</v>
      </c>
    </row>
    <row r="37" spans="1:27" x14ac:dyDescent="0.3">
      <c r="R37" s="5" t="s">
        <v>5</v>
      </c>
      <c r="S37" s="2">
        <v>35.507216494845359</v>
      </c>
      <c r="Z37" s="5" t="s">
        <v>5</v>
      </c>
      <c r="AA37" s="2">
        <v>4.7092198581560281</v>
      </c>
    </row>
    <row r="42" spans="1:27" x14ac:dyDescent="0.3">
      <c r="A42" s="4" t="s">
        <v>4</v>
      </c>
      <c r="B42" t="s">
        <v>13</v>
      </c>
      <c r="C42" t="s">
        <v>14</v>
      </c>
      <c r="E42" t="s">
        <v>55</v>
      </c>
      <c r="F42" t="s">
        <v>12</v>
      </c>
      <c r="G42" t="s">
        <v>72</v>
      </c>
    </row>
    <row r="43" spans="1:27" x14ac:dyDescent="0.3">
      <c r="A43" s="5" t="s">
        <v>6</v>
      </c>
      <c r="B43" s="9">
        <v>235</v>
      </c>
      <c r="C43" s="8">
        <v>0.4845360824742268</v>
      </c>
      <c r="E43" t="s">
        <v>7</v>
      </c>
    </row>
    <row r="44" spans="1:27" x14ac:dyDescent="0.3">
      <c r="A44" s="5" t="s">
        <v>7</v>
      </c>
      <c r="B44" s="9">
        <v>250</v>
      </c>
      <c r="C44" s="8">
        <v>0.51546391752577314</v>
      </c>
      <c r="E44" t="s">
        <v>6</v>
      </c>
    </row>
    <row r="45" spans="1:27" x14ac:dyDescent="0.3">
      <c r="A45" s="5" t="s">
        <v>5</v>
      </c>
      <c r="B45" s="9">
        <v>485</v>
      </c>
      <c r="C45" s="8">
        <v>1</v>
      </c>
    </row>
    <row r="47" spans="1:27" x14ac:dyDescent="0.3">
      <c r="A47" s="21" t="s">
        <v>11</v>
      </c>
      <c r="B47" s="22" t="s">
        <v>12</v>
      </c>
      <c r="C47" s="22" t="s">
        <v>72</v>
      </c>
      <c r="D47" s="23"/>
    </row>
    <row r="48" spans="1:27" x14ac:dyDescent="0.3">
      <c r="A48" s="19" t="str">
        <f>A44</f>
        <v>Not-Admitted</v>
      </c>
      <c r="B48" s="19">
        <f t="shared" ref="B48:C48" si="0">B44</f>
        <v>250</v>
      </c>
      <c r="C48" s="20">
        <f t="shared" si="0"/>
        <v>0.51546391752577314</v>
      </c>
      <c r="D48" s="10"/>
    </row>
    <row r="49" spans="1:4" x14ac:dyDescent="0.3">
      <c r="A49" s="19" t="str">
        <f>A43</f>
        <v>Admitted</v>
      </c>
      <c r="B49" s="19">
        <f t="shared" ref="B49:C49" si="1">B43</f>
        <v>235</v>
      </c>
      <c r="C49" s="20">
        <f t="shared" si="1"/>
        <v>0.4845360824742268</v>
      </c>
      <c r="D49" s="10"/>
    </row>
    <row r="51" spans="1:4" ht="15.6" x14ac:dyDescent="0.3">
      <c r="A51" s="15"/>
      <c r="B51" s="15"/>
      <c r="C51" s="15"/>
      <c r="D51" s="16"/>
    </row>
    <row r="52" spans="1:4" ht="15.6" x14ac:dyDescent="0.3">
      <c r="A52" s="15"/>
      <c r="B52" s="17"/>
      <c r="C52" s="18"/>
      <c r="D52" s="16"/>
    </row>
    <row r="53" spans="1:4" ht="15.6" x14ac:dyDescent="0.3">
      <c r="A53" s="15"/>
      <c r="B53" s="17"/>
      <c r="C53" s="18"/>
      <c r="D53" s="16"/>
    </row>
    <row r="58" spans="1:4" x14ac:dyDescent="0.3">
      <c r="A58" s="11" t="s">
        <v>4</v>
      </c>
      <c r="B58" s="12" t="s">
        <v>23</v>
      </c>
    </row>
    <row r="59" spans="1:4" x14ac:dyDescent="0.3">
      <c r="A59" s="13" t="s">
        <v>15</v>
      </c>
      <c r="B59" s="14">
        <v>59</v>
      </c>
    </row>
    <row r="60" spans="1:4" x14ac:dyDescent="0.3">
      <c r="A60" s="13" t="s">
        <v>16</v>
      </c>
      <c r="B60" s="14">
        <v>55</v>
      </c>
    </row>
    <row r="61" spans="1:4" x14ac:dyDescent="0.3">
      <c r="A61" s="13" t="s">
        <v>17</v>
      </c>
      <c r="B61" s="14">
        <v>69</v>
      </c>
    </row>
    <row r="62" spans="1:4" x14ac:dyDescent="0.3">
      <c r="A62" s="13" t="s">
        <v>18</v>
      </c>
      <c r="B62" s="14">
        <v>64</v>
      </c>
    </row>
    <row r="63" spans="1:4" x14ac:dyDescent="0.3">
      <c r="A63" s="13" t="s">
        <v>19</v>
      </c>
      <c r="B63" s="14">
        <v>56</v>
      </c>
    </row>
    <row r="64" spans="1:4" x14ac:dyDescent="0.3">
      <c r="A64" s="13" t="s">
        <v>20</v>
      </c>
      <c r="B64" s="14">
        <v>60</v>
      </c>
    </row>
    <row r="65" spans="1:2" x14ac:dyDescent="0.3">
      <c r="A65" s="13" t="s">
        <v>21</v>
      </c>
      <c r="B65" s="14">
        <v>51</v>
      </c>
    </row>
    <row r="66" spans="1:2" x14ac:dyDescent="0.3">
      <c r="A66" s="13" t="s">
        <v>22</v>
      </c>
      <c r="B66" s="14">
        <v>71</v>
      </c>
    </row>
    <row r="67" spans="1:2" x14ac:dyDescent="0.3">
      <c r="A67" s="13" t="s">
        <v>5</v>
      </c>
      <c r="B67" s="14">
        <v>485</v>
      </c>
    </row>
    <row r="76" spans="1:2" x14ac:dyDescent="0.3">
      <c r="A76" s="11" t="s">
        <v>4</v>
      </c>
      <c r="B76" s="12" t="s">
        <v>58</v>
      </c>
    </row>
    <row r="77" spans="1:2" x14ac:dyDescent="0.3">
      <c r="A77" s="13" t="s">
        <v>56</v>
      </c>
      <c r="B77" s="14">
        <v>297</v>
      </c>
    </row>
    <row r="78" spans="1:2" x14ac:dyDescent="0.3">
      <c r="A78" s="13" t="s">
        <v>57</v>
      </c>
      <c r="B78" s="14">
        <v>188</v>
      </c>
    </row>
    <row r="79" spans="1:2" x14ac:dyDescent="0.3">
      <c r="A79" s="13" t="s">
        <v>5</v>
      </c>
      <c r="B79" s="14">
        <v>485</v>
      </c>
    </row>
    <row r="84" spans="1:2" x14ac:dyDescent="0.3">
      <c r="A84" s="11" t="s">
        <v>4</v>
      </c>
      <c r="B84" s="12" t="s">
        <v>61</v>
      </c>
    </row>
    <row r="85" spans="1:2" x14ac:dyDescent="0.3">
      <c r="A85" s="13" t="s">
        <v>59</v>
      </c>
      <c r="B85" s="14">
        <v>239</v>
      </c>
    </row>
    <row r="86" spans="1:2" x14ac:dyDescent="0.3">
      <c r="A86" s="13" t="s">
        <v>60</v>
      </c>
      <c r="B86" s="14">
        <v>246</v>
      </c>
    </row>
    <row r="87" spans="1:2" x14ac:dyDescent="0.3">
      <c r="A87" s="13" t="s">
        <v>5</v>
      </c>
      <c r="B87" s="14">
        <v>485</v>
      </c>
    </row>
    <row r="91" spans="1:2" x14ac:dyDescent="0.3">
      <c r="A91" s="11" t="s">
        <v>4</v>
      </c>
      <c r="B91" s="12" t="s">
        <v>70</v>
      </c>
    </row>
    <row r="92" spans="1:2" x14ac:dyDescent="0.3">
      <c r="A92" s="13" t="s">
        <v>69</v>
      </c>
      <c r="B92" s="14">
        <v>2</v>
      </c>
    </row>
    <row r="93" spans="1:2" x14ac:dyDescent="0.3">
      <c r="A93" s="13" t="s">
        <v>68</v>
      </c>
      <c r="B93" s="14">
        <v>11</v>
      </c>
    </row>
    <row r="94" spans="1:2" x14ac:dyDescent="0.3">
      <c r="A94" s="13" t="s">
        <v>65</v>
      </c>
      <c r="B94" s="14">
        <v>12</v>
      </c>
    </row>
    <row r="95" spans="1:2" x14ac:dyDescent="0.3">
      <c r="A95" s="13" t="s">
        <v>63</v>
      </c>
      <c r="B95" s="14">
        <v>12</v>
      </c>
    </row>
    <row r="96" spans="1:2" x14ac:dyDescent="0.3">
      <c r="A96" s="13" t="s">
        <v>62</v>
      </c>
      <c r="B96" s="14">
        <v>13</v>
      </c>
    </row>
    <row r="97" spans="1:2" x14ac:dyDescent="0.3">
      <c r="A97" s="13" t="s">
        <v>67</v>
      </c>
      <c r="B97" s="14">
        <v>53</v>
      </c>
    </row>
    <row r="98" spans="1:2" x14ac:dyDescent="0.3">
      <c r="A98" s="13" t="s">
        <v>64</v>
      </c>
      <c r="B98" s="14">
        <v>91</v>
      </c>
    </row>
    <row r="99" spans="1:2" x14ac:dyDescent="0.3">
      <c r="A99" s="13" t="s">
        <v>66</v>
      </c>
      <c r="B99" s="14">
        <v>291</v>
      </c>
    </row>
    <row r="100" spans="1:2" x14ac:dyDescent="0.3">
      <c r="A100" s="13" t="s">
        <v>5</v>
      </c>
      <c r="B100" s="14">
        <v>485</v>
      </c>
    </row>
    <row r="105" spans="1:2" x14ac:dyDescent="0.3">
      <c r="A105" s="11" t="s">
        <v>4</v>
      </c>
    </row>
    <row r="106" spans="1:2" x14ac:dyDescent="0.3">
      <c r="A106" s="13" t="s">
        <v>71</v>
      </c>
    </row>
    <row r="107" spans="1:2" x14ac:dyDescent="0.3">
      <c r="A107" s="13" t="s">
        <v>5</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5FE01-D83B-440A-8763-5AA5A12BA230}">
  <dimension ref="A1"/>
  <sheetViews>
    <sheetView showGridLines="0" tabSelected="1" zoomScale="70" workbookViewId="0">
      <selection activeCell="AA19" sqref="AA19"/>
    </sheetView>
  </sheetViews>
  <sheetFormatPr defaultRowHeight="14.4" x14ac:dyDescent="0.3"/>
  <cols>
    <col min="1" max="16384" width="8.88671875" style="3"/>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29585-F30F-4CED-93F9-F096E419C2C4}">
  <dimension ref="A1"/>
  <sheetViews>
    <sheetView workbookViewId="0"/>
  </sheetViews>
  <sheetFormatPr defaultRowHeight="14.4" x14ac:dyDescent="0.3"/>
  <cols>
    <col min="1" max="16384" width="8.88671875" style="7"/>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CADD5-CE5D-41B4-80A0-A1808F68AFA9}">
  <dimension ref="A1"/>
  <sheetViews>
    <sheetView workbookViewId="0"/>
  </sheetViews>
  <sheetFormatPr defaultRowHeight="14.4" x14ac:dyDescent="0.3"/>
  <cols>
    <col min="1" max="16384" width="8.88671875" style="7"/>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6DF81-6169-4C2D-9FFC-F406B096C0F4}">
  <dimension ref="A1"/>
  <sheetViews>
    <sheetView workbookViewId="0"/>
  </sheetViews>
  <sheetFormatPr defaultRowHeight="14.4" x14ac:dyDescent="0.3"/>
  <cols>
    <col min="1" max="16384" width="8.88671875" style="7"/>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535BBC3-CA34-4C26-8CFB-F0965984ACA1}">
  <ds:schemaRefs/>
</ds:datastoreItem>
</file>

<file path=customXml/itemProps2.xml><?xml version="1.0" encoding="utf-8"?>
<ds:datastoreItem xmlns:ds="http://schemas.openxmlformats.org/officeDocument/2006/customXml" ds:itemID="{D15BA218-B80E-4959-AE85-D90FDA359877}">
  <ds:schemaRefs/>
</ds:datastoreItem>
</file>

<file path=customXml/itemProps3.xml><?xml version="1.0" encoding="utf-8"?>
<ds:datastoreItem xmlns:ds="http://schemas.openxmlformats.org/officeDocument/2006/customXml" ds:itemID="{5489CB32-9E9F-4A56-A17F-06DC72D7DE1C}">
  <ds:schemaRefs/>
</ds:datastoreItem>
</file>

<file path=customXml/itemProps4.xml><?xml version="1.0" encoding="utf-8"?>
<ds:datastoreItem xmlns:ds="http://schemas.openxmlformats.org/officeDocument/2006/customXml" ds:itemID="{AE4349EF-059F-44A0-9AF4-55EB059C71FF}">
  <ds:schemaRefs/>
</ds:datastoreItem>
</file>

<file path=customXml/itemProps5.xml><?xml version="1.0" encoding="utf-8"?>
<ds:datastoreItem xmlns:ds="http://schemas.openxmlformats.org/officeDocument/2006/customXml" ds:itemID="{6BA848D6-AEBC-4BEC-B3AE-DD28611B465A}">
  <ds:schemaRefs/>
</ds:datastoreItem>
</file>

<file path=customXml/itemProps6.xml><?xml version="1.0" encoding="utf-8"?>
<ds:datastoreItem xmlns:ds="http://schemas.openxmlformats.org/officeDocument/2006/customXml" ds:itemID="{BDCA98DD-E10A-45E0-A4BD-C6882D9F43DE}">
  <ds:schemaRefs/>
</ds:datastoreItem>
</file>

<file path=customXml/itemProps7.xml><?xml version="1.0" encoding="utf-8"?>
<ds:datastoreItem xmlns:ds="http://schemas.openxmlformats.org/officeDocument/2006/customXml" ds:itemID="{2C0B492C-74EC-4514-8656-38F31831EBCE}">
  <ds:schemaRefs/>
</ds:datastoreItem>
</file>

<file path=customXml/itemProps8.xml><?xml version="1.0" encoding="utf-8"?>
<ds:datastoreItem xmlns:ds="http://schemas.openxmlformats.org/officeDocument/2006/customXml" ds:itemID="{CB9CAEA8-94B8-424E-844C-64A11BFAA44D}">
  <ds:schemaRefs/>
</ds:datastoreItem>
</file>

<file path=customXml/itemProps9.xml><?xml version="1.0" encoding="utf-8"?>
<ds:datastoreItem xmlns:ds="http://schemas.openxmlformats.org/officeDocument/2006/customXml" ds:itemID="{5D44E21F-9071-4754-9C95-CAC077FE6103}">
  <ds:schemaRefs/>
</ds:datastoreItem>
</file>

<file path=customXml/itemProps10.xml><?xml version="1.0" encoding="utf-8"?>
<ds:datastoreItem xmlns:ds="http://schemas.openxmlformats.org/officeDocument/2006/customXml" ds:itemID="{BA4083A6-BC93-4359-9415-13FD6D7DF1AD}">
  <ds:schemaRefs/>
</ds:datastoreItem>
</file>

<file path=customXml/itemProps11.xml><?xml version="1.0" encoding="utf-8"?>
<ds:datastoreItem xmlns:ds="http://schemas.openxmlformats.org/officeDocument/2006/customXml" ds:itemID="{F6DFA9CB-DCB0-49CA-9C86-B16993E88AF9}">
  <ds:schemaRefs/>
</ds:datastoreItem>
</file>

<file path=customXml/itemProps12.xml><?xml version="1.0" encoding="utf-8"?>
<ds:datastoreItem xmlns:ds="http://schemas.openxmlformats.org/officeDocument/2006/customXml" ds:itemID="{99591F02-EDF8-4541-8417-E79EA17F35A1}">
  <ds:schemaRefs/>
</ds:datastoreItem>
</file>

<file path=customXml/itemProps13.xml><?xml version="1.0" encoding="utf-8"?>
<ds:datastoreItem xmlns:ds="http://schemas.openxmlformats.org/officeDocument/2006/customXml" ds:itemID="{AFAF9AFD-B5E0-4CAB-B424-DBD0137BBFF3}">
  <ds:schemaRefs/>
</ds:datastoreItem>
</file>

<file path=customXml/itemProps14.xml><?xml version="1.0" encoding="utf-8"?>
<ds:datastoreItem xmlns:ds="http://schemas.openxmlformats.org/officeDocument/2006/customXml" ds:itemID="{27846DE1-BA91-4D12-8397-7A1EC122D23F}">
  <ds:schemaRefs>
    <ds:schemaRef ds:uri="http://schemas.microsoft.com/DataMashup"/>
  </ds:schemaRefs>
</ds:datastoreItem>
</file>

<file path=customXml/itemProps15.xml><?xml version="1.0" encoding="utf-8"?>
<ds:datastoreItem xmlns:ds="http://schemas.openxmlformats.org/officeDocument/2006/customXml" ds:itemID="{ECCD6282-33C0-4DEC-9525-1D00B8C8F094}">
  <ds:schemaRefs/>
</ds:datastoreItem>
</file>

<file path=customXml/itemProps16.xml><?xml version="1.0" encoding="utf-8"?>
<ds:datastoreItem xmlns:ds="http://schemas.openxmlformats.org/officeDocument/2006/customXml" ds:itemID="{DD9A08B2-3753-4ADA-8F0E-78E41B0272DB}">
  <ds:schemaRefs/>
</ds:datastoreItem>
</file>

<file path=customXml/itemProps17.xml><?xml version="1.0" encoding="utf-8"?>
<ds:datastoreItem xmlns:ds="http://schemas.openxmlformats.org/officeDocument/2006/customXml" ds:itemID="{9BF3FCE7-38C5-4E90-9CE6-224E2AC4F5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Dashboard</vt:lpstr>
      <vt:lpstr>ER Daily No. of patient visit</vt:lpstr>
      <vt:lpstr>ER Daily Avg. Waittime</vt:lpstr>
      <vt:lpstr>Daily Satisfaction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2026-07-06T06:39:54Z</dcterms:created>
  <dcterms:modified xsi:type="dcterms:W3CDTF">2026-07-07T17:20:09Z</dcterms:modified>
</cp:coreProperties>
</file>